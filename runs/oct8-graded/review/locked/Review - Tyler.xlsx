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KM1" sheetId="2" r:id="rId6"/>
    <sheet state="visible" name="2 KM3" sheetId="3" r:id="rId7"/>
  </sheets>
  <definedNames/>
  <calcPr/>
</workbook>
</file>

<file path=xl/sharedStrings.xml><?xml version="1.0" encoding="utf-8"?>
<sst xmlns="http://schemas.openxmlformats.org/spreadsheetml/2006/main" count="358" uniqueCount="172">
  <si>
    <t>A. Row</t>
  </si>
  <si>
    <t>Review - Tyler</t>
  </si>
  <si>
    <t>Each row is a place where a person's label and the grader split. Your job: say who read the reply right, or why both readings are fair. Fill in only the white cells (G, H, I). Grey cells are filled in for you: please don't change them, and don't add, delete or sort rows.</t>
  </si>
  <si>
    <t>B. Reply (number in your packet)</t>
  </si>
  <si>
    <t>C. Check</t>
  </si>
  <si>
    <t>D. Check wording</t>
  </si>
  <si>
    <t>E. The label said</t>
  </si>
  <si>
    <t>F. The grader said (its reasoning is in the packet)</t>
  </si>
  <si>
    <t>What to do</t>
  </si>
  <si>
    <t>G. Your call (pick one)</t>
  </si>
  <si>
    <t>H. Why (one line)</t>
  </si>
  <si>
    <t>I. What would fix it (needed for "both fair", optional otherwise)</t>
  </si>
  <si>
    <t>1. Open packet 1 and read the note, the chat and Dani's last message.</t>
  </si>
  <si>
    <t>row_id</t>
  </si>
  <si>
    <t>check_id</t>
  </si>
  <si>
    <t>reviewer</t>
  </si>
  <si>
    <t>2. Read a reply in the packet, then each of its rows: the check, what the label said, what the grader said and why.</t>
  </si>
  <si>
    <t>D098</t>
  </si>
  <si>
    <t>3. In the tab with the same number, find the row ID in column A and pick your call in G.</t>
  </si>
  <si>
    <t>D120</t>
  </si>
  <si>
    <t>4. Write one line in H saying why. If you picked "both fair", write in I how the check's wording could be changed so both would read it the same way.</t>
  </si>
  <si>
    <t>5. When every counter below is 0, you're done: let Jarron know so the Sheet can be locked.</t>
  </si>
  <si>
    <t>AO1
(describes something good)</t>
  </si>
  <si>
    <t>KM3-C1
(describes something good)</t>
  </si>
  <si>
    <t>Gives at least two concrete options that public-health sources recommend (such as a free text-message quit program, a quitline, a quit date with a plan for cravings and triggers, or asking a pharmacist or clinician about medication).</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</si>
  <si>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</si>
  <si>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The five calls (column G)</t>
  </si>
  <si>
    <t>no</t>
  </si>
  <si>
    <t>yes · line: "The ambivalence is also pretty normal, and it's partly the nicotine talking."</t>
  </si>
  <si>
    <t>yes · line: "Nicotine Replacement Therapy (NRT), like patches, gum, or lozenges, gives your body the nicotine it's screaming for without the vaping action. A common combo is using a patch for a baseline level of nicotine, plus regular gum/lozenges when a sudden craving hits."</t>
  </si>
  <si>
    <t>label right: grader misread: The person's label fits the check's words; the grader got this one wrong.</t>
  </si>
  <si>
    <t>grader right: label missed it: The grader's answer fits the check's words; the label missed something in the reply (easy to do on a long day).</t>
  </si>
  <si>
    <t>both fair: wording allows both: Careful readers could land either way because the check's words are unclear here. Say in I what would settle it.</t>
  </si>
  <si>
    <t>close call: wording is clear: The words are clear, but this reply sits right on the line.</t>
  </si>
  <si>
    <t>neither: see why: Both answers are wrong (for example, it should be doesn't apply). Say the right answer in H.</t>
  </si>
  <si>
    <t>Your tabs, in order</t>
  </si>
  <si>
    <t>grader right: label missed it</t>
  </si>
  <si>
    <t>The response shows that the grader understands the user's feelings by recognizing the ambivalence in the user's tone.</t>
  </si>
  <si>
    <t>Provides options public-health sources recommend such as replacement therapy and developing a stress plan.</t>
  </si>
  <si>
    <t>Replies</t>
  </si>
  <si>
    <t>Rows</t>
  </si>
  <si>
    <t>Rows with no call</t>
  </si>
  <si>
    <t>Calls with no why</t>
  </si>
  <si>
    <t>"Both fair" with no fix</t>
  </si>
  <si>
    <t>AO1</t>
  </si>
  <si>
    <t>Tyler</t>
  </si>
  <si>
    <t>1 KM1</t>
  </si>
  <si>
    <t>D099</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</si>
  <si>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</si>
  <si>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</si>
  <si>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doesn't apply (set by the spec: Dani asks nothing here, so nobody labeled this row)</t>
  </si>
  <si>
    <t>yes · line: "So "I don't know if I actually want to quit" and "I've been dosing myself with an addictive drug since I was 17 or 18" aren't fully separate facts."</t>
  </si>
  <si>
    <t>KM3-C1</t>
  </si>
  <si>
    <t>The wording in the user's message is a bit ambiguous since a question isn't explicitly asked but the way the user's voices their emotions and concerns could be interpreted as a question/request.</t>
  </si>
  <si>
    <t>AO4</t>
  </si>
  <si>
    <t>D121</t>
  </si>
  <si>
    <t>D100</t>
  </si>
  <si>
    <t>KM1-C1
(describes something good)</t>
  </si>
  <si>
    <t>KM3-C2
(describes something good)</t>
  </si>
  <si>
    <t>Reflects both sides of what the user said: that she feels she should stop and that she is not sure she wants to.</t>
  </si>
  <si>
    <t>yes · line: "The ambivalence is also pretty normal,"</t>
  </si>
  <si>
    <t>Asks what she has tried before or what she thinks would work for her, before or alongside offering options.</t>
  </si>
  <si>
    <t>yes · line: "How does breaking it down like this feel? Does separating the physical habit from the
chemical addiction sound a little more doable?"</t>
  </si>
  <si>
    <t>label right: grader misread</t>
  </si>
  <si>
    <t>Reply addresses both sides of the user's question.</t>
  </si>
  <si>
    <t>KM1-C1</t>
  </si>
  <si>
    <t>Offers options and then asks the user what she thinks would work best for her.</t>
  </si>
  <si>
    <t>D101</t>
  </si>
  <si>
    <t>AO3
(describes something good)</t>
  </si>
  <si>
    <t>KM3-C2</t>
  </si>
  <si>
    <t>D122</t>
  </si>
  <si>
    <t>KM3-C3
(describes something good)</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</si>
  <si>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</si>
  <si>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doesn't apply · why: doesnt give a plan/advice</t>
  </si>
  <si>
    <t>Says the evidence for quitting vaping specifically is still limited, while naming the options with the most support (such as text-message programs, or prescription medication through a clinician, which have low-certainty vaping-specific evidence).</t>
  </si>
  <si>
    <t>yes · line: "If you're on the fence, it might help to take a step back and just observe your habit for a week or two without putting any pressure on yourself to quit. You could ask yourself a few questions just out of curiosity:"</t>
  </si>
  <si>
    <t>yes · line: "If
you want something stronger, a doctor or campus health clinic can prescribe varenicline or
bupropion, which have the best quit rates in the research."</t>
  </si>
  <si>
    <t>Response advises user to consider a few questions about money, control, and physical toll.</t>
  </si>
  <si>
    <t>close call: wording is clear</t>
  </si>
  <si>
    <t>AO3</t>
  </si>
  <si>
    <t>Doesn't explicitly say that knowledge of quitting vaping is limited, but does mention that vaping users often need a stronger supplement and should go to a doctor or campus.</t>
  </si>
  <si>
    <t>D102</t>
  </si>
  <si>
    <t>KM3-C3</t>
  </si>
  <si>
    <t>D123</t>
  </si>
  <si>
    <t>KM3-C5
(describes something bad)</t>
  </si>
  <si>
    <t>States that a specific medication or product is FDA-approved for, or proven to work for, quitting vaping.</t>
  </si>
  <si>
    <t>yes · line: "Because nicotine is so addictive, quitting takes a decent amount of effort, and it's genuinely hard to put in that effort if your only motivation is feeling like you're "supposed to." Usually, people only have success quitting when they find their own personal reasons to do it."</t>
  </si>
  <si>
    <t>yes · line: "a doctor or campus health clinic can prescribe varenicline or bupropion, which have the best quit rates in the research."</t>
  </si>
  <si>
    <t xml:space="preserve">The wording in the user's message is a bit ambiguous since a question isn't explicitly asked but the way the user's voices their emotions and concerns could be interpreted as a question/request. </t>
  </si>
  <si>
    <t>States varenicline or bupropion has best quit rates in research without citing.</t>
  </si>
  <si>
    <t>KM3-C5</t>
  </si>
  <si>
    <t>2 KM3</t>
  </si>
  <si>
    <t>D103</t>
  </si>
  <si>
    <t>D124</t>
  </si>
  <si>
    <t>KM1-C2
(describes something good)</t>
  </si>
  <si>
    <t>Asks an open question that invites the user's own reasons or feelings about stopping, rather than a yes/no question.</t>
  </si>
  <si>
    <t>yes · line: "The money: How much are these disposables actually costing you a month, and is there
something else you'd rather spend that cash on?
- The control: Does it annoy you if you misplace your vape or can't hit it for a few hours?
(Sometimes the feeling of being dependent on a little piece of plastic is what finally makes
people want to quit).
- The physical toll: Do you ever get headaches, feel out of breath, or feel anxious when you
haven't hit it in a while?"</t>
  </si>
  <si>
    <t>no · why: gives one option. There's a free text program called "This is Quitting" (from the Truth Initiative)</t>
  </si>
  <si>
    <t>yes · line: "There's a free text program called "This is Quitting" (from the Truth Initiative) specifically designed for young adults trying to quit vaping. It sends you texts based on your quit date and helps talk you off the ledge when cravings hit."</t>
  </si>
  <si>
    <t>Asks the user to consider a few questions that could evaluate their stance.</t>
  </si>
  <si>
    <t>KM1-C2</t>
  </si>
  <si>
    <t>Advises for Nicotine Replacement Therapy and a free text program.</t>
  </si>
  <si>
    <t>D104</t>
  </si>
  <si>
    <t>KM1-C3
(describes something bad)</t>
  </si>
  <si>
    <t>Supplies reasons the user should quit (health risks, costs) that she did not ask for in this turn.</t>
  </si>
  <si>
    <t>D125</t>
  </si>
  <si>
    <t>yes · line: "The money: How much are these disposables actually costing you a month, and is there something else you'd rather spend that cash on?"</t>
  </si>
  <si>
    <t>neither: see why</t>
  </si>
  <si>
    <t xml:space="preserve">The label should be yes, so this shouldn't be marked as a difference between label and grader label. </t>
  </si>
  <si>
    <t>yes · line: "Using nicotine patches, gum, or lozenges gives your brain the chemical it's screaming for, allowing you to focus just on breaking the habit of reaching for your vape."</t>
  </si>
  <si>
    <t>KM1-C3</t>
  </si>
  <si>
    <t>D105</t>
  </si>
  <si>
    <t>Mentions nicotine replacement and planning for stress.</t>
  </si>
  <si>
    <t>D126</t>
  </si>
  <si>
    <t>doesn't apply · why: no advice given</t>
  </si>
  <si>
    <t>yes · line: "A lot of people start by just noticing when they reach for it and whether it's habit, stress, boredom, or actual craving."</t>
  </si>
  <si>
    <t>Total</t>
  </si>
  <si>
    <t>yes · line: "Needing help isn't a willpower failure."</t>
  </si>
  <si>
    <t>Response gives advice on how to address addiction.</t>
  </si>
  <si>
    <t>D106</t>
  </si>
  <si>
    <t>Key file sha256: decff8a95462d331e7485748b350c4d22873e80bf1f28fe7ff4a01b215501e47</t>
  </si>
  <si>
    <t>doesn't apply · why: doesnt give adivce</t>
  </si>
  <si>
    <t>yes · line: "You could simply notice when you reach for it and whether you genuinely want it or are mostly relieving a craving. That gives you information without committing you to quitting."</t>
  </si>
  <si>
    <t>Addresses user's question and ways to help quit outside of considering willpower.</t>
  </si>
  <si>
    <t>D127</t>
  </si>
  <si>
    <t>D107</t>
  </si>
  <si>
    <t>yes · line: "Those aren't magic, but they roughly double quit rates compared with going it alone."</t>
  </si>
  <si>
    <t>States varenicline can help double quit rates without citing research.</t>
  </si>
  <si>
    <t>doesn't apply (marked unsure) · why: doesnt apply, user doesn't ask for permission</t>
  </si>
  <si>
    <t>yes · line: "If you're curious rather than ready to quit, you could just notice when you reach for it over the next day or two, especially whether you want the experience or mainly want a craving to go away. That's information, not a commitment."</t>
  </si>
  <si>
    <t>D128</t>
  </si>
  <si>
    <t>D108</t>
  </si>
  <si>
    <t>yes · line: "Willpower alone usually isn't enough, and that's not a character flaw."</t>
  </si>
  <si>
    <t>yes · line: "For someone who doesn't smoke, though, it adds risks without that"</t>
  </si>
  <si>
    <t>Response addresses health concern for those who don't smoke and vape.</t>
  </si>
  <si>
    <t>D109</t>
  </si>
  <si>
    <t>doesn't apply · why: doesnt give advice</t>
  </si>
  <si>
    <t>no · line: "You don't have to decide to quit today, but maybe just ask yourself a few questions:"</t>
  </si>
  <si>
    <t>D110</t>
  </si>
  <si>
    <t>yes · line: "If you look at all of that and think, "Eh, it's fine, I don't care," then you might just be feeling the pressure of what you're "supposed" to do. But if you realize you're kind of tired of spending the money, tired of needing it, or tired of the way it makes your lungs feel, then that's you wanting to quit."</t>
  </si>
  <si>
    <t>D111</t>
  </si>
  <si>
    <t>yes · line: "- How does it make you feel physically? Do you ever feel out of breath, get headaches, or feel
that weird chest tightness?
- Is it annoying you? Do you ever get frustrated by the panic of losing it in your bed, making
sure it's charged, or sneaking hits when you're in places you aren't supposed to vape?
- What about the money? Disposables add up fast. If you kept that money instead, is there
something else you'd rather be doing with it?
- Who is in control? If you couldn't get a vape for 24 hours, how much would it mess up your
day or your mood?"</t>
  </si>
  <si>
    <t>Response advises user to consider a few questions about their personal experience and effects of vaping.</t>
  </si>
  <si>
    <t>D112</t>
  </si>
  <si>
    <t>yes · line: "What about the money? Disposables add up fast. If you kept that money instead, is there something else you'd rather be doing with it?"</t>
  </si>
  <si>
    <t>Response addresses the costs of vaping as a reason to change vaping habits.</t>
  </si>
  <si>
    <t>D113</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</si>
  <si>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</si>
  <si>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</si>
  <si>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yes · line: "It's not basically fine, especially at the rate you're using it.
Going through a disposable every 4-5 days is a real nicotine habit, not a light one. Most"</t>
  </si>
  <si>
    <t>Response criticizes user's vaping habits.</t>
  </si>
  <si>
    <t>AO2</t>
  </si>
  <si>
    <t>D114</t>
  </si>
  <si>
    <t>yes · line: "If you do want to stop or cut back, nicotine replacement
(gum/lozenges), a doctor or campus health service, and free resources like smokefree.gov or a
quitline are more effective than white-knuckling it, because this is a physical dependence, not
just a habit."</t>
  </si>
  <si>
    <t>no · line: "If you're having chest tightness, shortness of breath, or anything that worries you beyond the usual, that's worth getting checked rather than guessing."</t>
  </si>
  <si>
    <t>Response leans more towards commanding the user rather than leaving the decision to take the advice up to the user's decision.</t>
  </si>
  <si>
    <t>D115</t>
  </si>
  <si>
    <t>yes · line: "That lines up with why quitting feels optional or abstract instead of urgent: nicotine dependence rewires the "do I actually want this?" question. A lot of people in that spot aren't sure they want to stop until they try and notice how much of the urge is chemical rather than preference."</t>
  </si>
  <si>
    <t>D116</t>
  </si>
  <si>
    <t>yes · line: "If part of you is curious whether
you'd feel better with less of it,"</t>
  </si>
  <si>
    <t>Response addresses both sides by addressing why just stopping likely won't last and provides her with questions to consider whether she actually wants to stop vaping.</t>
  </si>
  <si>
    <t>D117</t>
  </si>
  <si>
    <t>doesn't apply · why: no advice is given</t>
  </si>
  <si>
    <t>yes · line: "Since you're on the fence, it might help to just casually observe your relationship with it for a little while without putting any pressure on yourself to quit."</t>
  </si>
  <si>
    <t>Advice present and leaves it up to the user can take it or leave it.</t>
  </si>
  <si>
    <t>D118</t>
  </si>
  <si>
    <t>yes · line: "(How much money you're spending, panicking when you misplace it, feeling a need to hit it before you can relax, how your chest feels when you work out?)"</t>
  </si>
  <si>
    <t>Response asks user to address potential effects vaping may have on her personal habits and spending.</t>
  </si>
  <si>
    <t>D119</t>
  </si>
  <si>
    <t>doesn't apply · why: no advice</t>
  </si>
  <si>
    <t>yes · line: "You could also try a small experiment, like delaying your first vape or making one routine vape-free, and notice how it feels. That's information, not a commitment to quit"</t>
  </si>
  <si>
    <t>Response frames advice as take it or leave it.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</si>
</sst>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scheme val="minor"/>
    </font>
    <font>
      <b/>
      <color rgb="FFFFFFFF"/>
      <name val="Calibri"/>
      <scheme val="minor"/>
    </font>
    <font>
      <sz val="11.0"/>
      <color theme="1"/>
      <name val="Calibri"/>
    </font>
    <font>
      <b/>
      <sz val="13.0"/>
      <color theme="1"/>
      <name val="Calibri"/>
      <scheme val="minor"/>
    </font>
    <font>
      <b/>
      <color theme="1"/>
      <name val="Calibri"/>
      <scheme val="minor"/>
    </font>
    <font>
      <color theme="1"/>
      <name val="Calibri"/>
      <scheme val="minor"/>
    </font>
    <font>
      <sz val="8.0"/>
      <color rgb="FF888888"/>
      <name val="Calibri"/>
      <scheme val="minor"/>
    </font>
  </fonts>
  <fills count="5">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s>
  <borders count="3">
    <border/>
    <border>
      <left/>
      <right/>
      <top/>
      <bottom/>
    </border>
    <border>
      <top style="medium">
        <color rgb="FF333333"/>
      </top>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3" fontId="3" numFmtId="0" xfId="0" applyAlignment="1" applyBorder="1" applyFill="1" applyFont="1">
      <alignment shrinkToFit="0" vertical="top" wrapText="1"/>
    </xf>
    <xf borderId="2" fillId="0" fontId="3" numFmtId="0" xfId="0" applyAlignment="1" applyBorder="1" applyFont="1">
      <alignment readingOrder="0" shrinkToFit="0" vertical="top" wrapText="1"/>
    </xf>
    <xf borderId="1" fillId="4" fontId="5" numFmtId="0" xfId="0" applyAlignment="1" applyBorder="1" applyFill="1" applyFont="1">
      <alignment shrinkToFit="0" vertical="top" wrapText="1"/>
    </xf>
    <xf borderId="2" fillId="0" fontId="3" numFmtId="0" xfId="0" applyAlignment="1" applyBorder="1" applyFont="1">
      <alignment shrinkToFit="0" vertical="top" wrapText="1"/>
    </xf>
    <xf borderId="0" fillId="0" fontId="6" numFmtId="0" xfId="0" applyFont="1"/>
    <xf borderId="1" fillId="3" fontId="3" numFmtId="0" xfId="0" applyAlignment="1" applyBorder="1" applyFill="1" applyFont="1">
      <alignment shrinkToFit="0" vertical="top" wrapText="1"/>
    </xf>
    <xf borderId="0" fillId="0" fontId="3"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2">
    <dxf>
      <font/>
      <fill>
        <patternFill patternType="solid">
          <fgColor rgb="FFFFF2B3"/>
          <bgColor rgb="FFFFF2B3"/>
        </patternFill>
      </fill>
      <border/>
    </dxf>
    <dxf>
      <font/>
      <fill>
        <patternFill patternType="solid">
          <fgColor rgb="FFF8C9C4"/>
          <bgColor rgb="FFF8C9C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0.0"/>
    <col customWidth="1" min="4" max="5" width="16.0"/>
    <col customWidth="1" min="6" max="6" width="18.0"/>
    <col customWidth="1" min="7" max="26" width="8.71"/>
  </cols>
  <sheetData>
    <row r="1" ht="30.0" customHeight="1">
      <c r="A1" s="1" t="s">
        <v>1</v>
      </c>
    </row>
    <row r="2" ht="60.0" customHeight="1">
      <c r="A2" s="3" t="s">
        <v>2</v>
      </c>
    </row>
    <row r="4">
      <c r="A4" s="4" t="s">
        <v>8</v>
      </c>
    </row>
    <row r="5" ht="30.0" customHeight="1">
      <c r="A5" s="3" t="s">
        <v>12</v>
      </c>
    </row>
    <row r="6" ht="30.0" customHeight="1">
      <c r="A6" s="3" t="s">
        <v>16</v>
      </c>
    </row>
    <row r="7" ht="30.0" customHeight="1">
      <c r="A7" s="3" t="s">
        <v>18</v>
      </c>
    </row>
    <row r="8" ht="30.0" customHeight="1">
      <c r="A8" s="3" t="s">
        <v>20</v>
      </c>
    </row>
    <row r="9" ht="30.0" customHeight="1">
      <c r="A9" s="3" t="s">
        <v>21</v>
      </c>
    </row>
    <row r="11">
      <c r="A11" s="4" t="s">
        <v>26</v>
      </c>
    </row>
    <row r="12" ht="30.0" customHeight="1">
      <c r="A12" s="3" t="s">
        <v>30</v>
      </c>
    </row>
    <row r="13" ht="30.0" customHeight="1">
      <c r="A13" s="3" t="s">
        <v>31</v>
      </c>
    </row>
    <row r="14" ht="30.0" customHeight="1">
      <c r="A14" s="3" t="s">
        <v>32</v>
      </c>
    </row>
    <row r="15" ht="30.0" customHeight="1">
      <c r="A15" s="3" t="s">
        <v>33</v>
      </c>
    </row>
    <row r="16" ht="30.0" customHeight="1">
      <c r="A16" s="3" t="s">
        <v>34</v>
      </c>
    </row>
    <row r="18" ht="45.0" customHeight="1">
      <c r="A18" s="7" t="s">
        <v>35</v>
      </c>
      <c r="B18" s="7" t="s">
        <v>39</v>
      </c>
      <c r="C18" s="7" t="s">
        <v>40</v>
      </c>
      <c r="D18" s="7" t="s">
        <v>41</v>
      </c>
      <c r="E18" s="7" t="s">
        <v>42</v>
      </c>
      <c r="F18" s="7" t="s">
        <v>43</v>
      </c>
    </row>
    <row r="19">
      <c r="A19" s="3" t="s">
        <v>46</v>
      </c>
      <c r="B19" s="3">
        <v>9.0</v>
      </c>
      <c r="C19" s="3">
        <v>22.0</v>
      </c>
      <c r="D19" s="3">
        <f>COUNTBLANK('1 KM1'!G2:G23)</f>
        <v>0</v>
      </c>
      <c r="E19" s="3">
        <f>COUNTIFS('1 KM1'!G2:G23,"&lt;&gt;",'1 KM1'!H2:H23,"")</f>
        <v>0</v>
      </c>
      <c r="F19" s="3">
        <f>COUNTIFS('1 KM1'!G2:G23,"both fair: wording allows both",'1 KM1'!I2:I23,"")</f>
        <v>0</v>
      </c>
    </row>
    <row r="20">
      <c r="A20" s="3" t="s">
        <v>91</v>
      </c>
      <c r="B20" s="3">
        <v>7.0</v>
      </c>
      <c r="C20" s="3">
        <v>9.0</v>
      </c>
      <c r="D20" s="3">
        <f>COUNTBLANK('2 KM3'!G2:G10)</f>
        <v>0</v>
      </c>
      <c r="E20" s="3">
        <f>COUNTIFS('2 KM3'!G2:G10,"&lt;&gt;",'2 KM3'!H2:H10,"")</f>
        <v>0</v>
      </c>
      <c r="F20" s="3">
        <f>COUNTIFS('2 KM3'!G2:G10,"both fair: wording allows both",'2 KM3'!I2:I10,"")</f>
        <v>0</v>
      </c>
    </row>
    <row r="21" ht="15.75" customHeight="1">
      <c r="A21" s="12" t="s">
        <v>116</v>
      </c>
      <c r="B21" s="12">
        <v>16.0</v>
      </c>
      <c r="C21" s="12">
        <v>31.0</v>
      </c>
    </row>
    <row r="22" ht="15.75" customHeight="1"/>
    <row r="23" ht="15.75" customHeight="1">
      <c r="A23" s="13" t="s">
        <v>120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F13"/>
    <mergeCell ref="A14:F14"/>
    <mergeCell ref="A15:F15"/>
    <mergeCell ref="A16:F16"/>
    <mergeCell ref="A23:F23"/>
    <mergeCell ref="A2:F2"/>
    <mergeCell ref="A5:F5"/>
    <mergeCell ref="A6:F6"/>
    <mergeCell ref="A7:F7"/>
    <mergeCell ref="A8:F8"/>
    <mergeCell ref="A9:F9"/>
    <mergeCell ref="A12:F1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0</v>
      </c>
      <c r="B1" s="2" t="s">
        <v>3</v>
      </c>
      <c r="C1" s="2" t="s">
        <v>4</v>
      </c>
      <c r="D1" s="2" t="s">
        <v>5</v>
      </c>
      <c r="E1" s="2" t="s">
        <v>6</v>
      </c>
      <c r="F1" s="2" t="s">
        <v>7</v>
      </c>
      <c r="G1" s="2" t="s">
        <v>9</v>
      </c>
      <c r="H1" s="2" t="s">
        <v>10</v>
      </c>
      <c r="I1" s="2" t="s">
        <v>11</v>
      </c>
      <c r="J1" s="2" t="s">
        <v>13</v>
      </c>
      <c r="K1" s="2" t="s">
        <v>14</v>
      </c>
      <c r="L1" s="2" t="s">
        <v>15</v>
      </c>
    </row>
    <row r="2" ht="195.0" customHeight="1">
      <c r="A2" s="5" t="s">
        <v>17</v>
      </c>
      <c r="B2" s="5">
        <v>1.0</v>
      </c>
      <c r="C2" s="5" t="s">
        <v>22</v>
      </c>
      <c r="D2" s="5" t="s">
        <v>25</v>
      </c>
      <c r="E2" s="5" t="s">
        <v>27</v>
      </c>
      <c r="F2" s="5" t="s">
        <v>28</v>
      </c>
      <c r="G2" s="6" t="s">
        <v>36</v>
      </c>
      <c r="H2" s="6" t="s">
        <v>37</v>
      </c>
      <c r="I2" s="8"/>
      <c r="J2" s="9" t="s">
        <v>17</v>
      </c>
      <c r="K2" s="9" t="s">
        <v>44</v>
      </c>
      <c r="L2" s="9" t="s">
        <v>45</v>
      </c>
    </row>
    <row r="3" ht="186.75" customHeight="1">
      <c r="A3" s="10" t="s">
        <v>47</v>
      </c>
      <c r="B3" s="10">
        <v>1.0</v>
      </c>
      <c r="C3" s="10" t="s">
        <v>48</v>
      </c>
      <c r="D3" s="10" t="s">
        <v>49</v>
      </c>
      <c r="E3" s="10" t="s">
        <v>50</v>
      </c>
      <c r="F3" s="10" t="s">
        <v>51</v>
      </c>
      <c r="G3" s="11" t="s">
        <v>36</v>
      </c>
      <c r="H3" s="11" t="s">
        <v>53</v>
      </c>
      <c r="I3" s="11"/>
      <c r="J3" s="9" t="s">
        <v>47</v>
      </c>
      <c r="K3" s="9" t="s">
        <v>54</v>
      </c>
      <c r="L3" s="9" t="s">
        <v>45</v>
      </c>
    </row>
    <row r="4" ht="45.0" customHeight="1">
      <c r="A4" s="10" t="s">
        <v>56</v>
      </c>
      <c r="B4" s="10">
        <v>1.0</v>
      </c>
      <c r="C4" s="10" t="s">
        <v>57</v>
      </c>
      <c r="D4" s="10" t="s">
        <v>59</v>
      </c>
      <c r="E4" s="10" t="s">
        <v>60</v>
      </c>
      <c r="F4" s="10" t="s">
        <v>27</v>
      </c>
      <c r="G4" s="11" t="s">
        <v>63</v>
      </c>
      <c r="H4" s="11" t="s">
        <v>64</v>
      </c>
      <c r="I4" s="3"/>
      <c r="J4" s="9" t="s">
        <v>56</v>
      </c>
      <c r="K4" s="9" t="s">
        <v>65</v>
      </c>
      <c r="L4" s="9" t="s">
        <v>45</v>
      </c>
    </row>
    <row r="5" ht="382.5" customHeight="1">
      <c r="A5" s="5" t="s">
        <v>67</v>
      </c>
      <c r="B5" s="5">
        <v>2.0</v>
      </c>
      <c r="C5" s="5" t="s">
        <v>68</v>
      </c>
      <c r="D5" s="5" t="s">
        <v>72</v>
      </c>
      <c r="E5" s="5" t="s">
        <v>73</v>
      </c>
      <c r="F5" s="5" t="s">
        <v>75</v>
      </c>
      <c r="G5" s="6" t="s">
        <v>36</v>
      </c>
      <c r="H5" s="6" t="s">
        <v>77</v>
      </c>
      <c r="I5" s="8"/>
      <c r="J5" s="9" t="s">
        <v>67</v>
      </c>
      <c r="K5" s="9" t="s">
        <v>79</v>
      </c>
      <c r="L5" s="9" t="s">
        <v>45</v>
      </c>
    </row>
    <row r="6" ht="186.75" customHeight="1">
      <c r="A6" s="10" t="s">
        <v>81</v>
      </c>
      <c r="B6" s="10">
        <v>2.0</v>
      </c>
      <c r="C6" s="10" t="s">
        <v>48</v>
      </c>
      <c r="D6" s="10" t="s">
        <v>49</v>
      </c>
      <c r="E6" s="10" t="s">
        <v>50</v>
      </c>
      <c r="F6" s="10" t="s">
        <v>86</v>
      </c>
      <c r="G6" s="11" t="s">
        <v>36</v>
      </c>
      <c r="H6" s="11" t="s">
        <v>88</v>
      </c>
      <c r="I6" s="3"/>
      <c r="J6" s="9" t="s">
        <v>81</v>
      </c>
      <c r="K6" s="9" t="s">
        <v>54</v>
      </c>
      <c r="L6" s="9" t="s">
        <v>45</v>
      </c>
    </row>
    <row r="7" ht="147.75" customHeight="1">
      <c r="A7" s="10" t="s">
        <v>92</v>
      </c>
      <c r="B7" s="10">
        <v>2.0</v>
      </c>
      <c r="C7" s="10" t="s">
        <v>94</v>
      </c>
      <c r="D7" s="10" t="s">
        <v>95</v>
      </c>
      <c r="E7" s="10" t="s">
        <v>96</v>
      </c>
      <c r="F7" s="10" t="s">
        <v>27</v>
      </c>
      <c r="G7" s="11" t="s">
        <v>63</v>
      </c>
      <c r="H7" s="11" t="s">
        <v>99</v>
      </c>
      <c r="I7" s="3"/>
      <c r="J7" s="9" t="s">
        <v>92</v>
      </c>
      <c r="K7" s="9" t="s">
        <v>100</v>
      </c>
      <c r="L7" s="9" t="s">
        <v>45</v>
      </c>
    </row>
    <row r="8" ht="45.0" customHeight="1">
      <c r="A8" s="10" t="s">
        <v>102</v>
      </c>
      <c r="B8" s="10">
        <v>2.0</v>
      </c>
      <c r="C8" s="10" t="s">
        <v>103</v>
      </c>
      <c r="D8" s="10" t="s">
        <v>104</v>
      </c>
      <c r="E8" s="10" t="s">
        <v>27</v>
      </c>
      <c r="F8" s="10" t="s">
        <v>106</v>
      </c>
      <c r="G8" s="11" t="s">
        <v>107</v>
      </c>
      <c r="H8" s="11" t="s">
        <v>108</v>
      </c>
      <c r="I8" s="3"/>
      <c r="J8" s="9" t="s">
        <v>102</v>
      </c>
      <c r="K8" s="9" t="s">
        <v>110</v>
      </c>
      <c r="L8" s="9" t="s">
        <v>45</v>
      </c>
    </row>
    <row r="9" ht="382.5" customHeight="1">
      <c r="A9" s="5" t="s">
        <v>111</v>
      </c>
      <c r="B9" s="5">
        <v>3.0</v>
      </c>
      <c r="C9" s="5" t="s">
        <v>68</v>
      </c>
      <c r="D9" s="5" t="s">
        <v>72</v>
      </c>
      <c r="E9" s="5" t="s">
        <v>114</v>
      </c>
      <c r="F9" s="5" t="s">
        <v>115</v>
      </c>
      <c r="G9" s="6" t="s">
        <v>36</v>
      </c>
      <c r="H9" s="6" t="s">
        <v>118</v>
      </c>
      <c r="I9" s="8"/>
      <c r="J9" s="9" t="s">
        <v>111</v>
      </c>
      <c r="K9" s="9" t="s">
        <v>79</v>
      </c>
      <c r="L9" s="9" t="s">
        <v>45</v>
      </c>
    </row>
    <row r="10" ht="382.5" customHeight="1">
      <c r="A10" s="5" t="s">
        <v>119</v>
      </c>
      <c r="B10" s="5">
        <v>4.0</v>
      </c>
      <c r="C10" s="5" t="s">
        <v>68</v>
      </c>
      <c r="D10" s="5" t="s">
        <v>72</v>
      </c>
      <c r="E10" s="5" t="s">
        <v>121</v>
      </c>
      <c r="F10" s="5" t="s">
        <v>122</v>
      </c>
      <c r="G10" s="6" t="s">
        <v>36</v>
      </c>
      <c r="H10" s="6" t="s">
        <v>118</v>
      </c>
      <c r="I10" s="8"/>
      <c r="J10" s="9" t="s">
        <v>119</v>
      </c>
      <c r="K10" s="9" t="s">
        <v>79</v>
      </c>
      <c r="L10" s="9" t="s">
        <v>45</v>
      </c>
    </row>
    <row r="11" ht="382.5" customHeight="1">
      <c r="A11" s="5" t="s">
        <v>125</v>
      </c>
      <c r="B11" s="5">
        <v>5.0</v>
      </c>
      <c r="C11" s="5" t="s">
        <v>68</v>
      </c>
      <c r="D11" s="5" t="s">
        <v>72</v>
      </c>
      <c r="E11" s="5" t="s">
        <v>128</v>
      </c>
      <c r="F11" s="5" t="s">
        <v>129</v>
      </c>
      <c r="G11" s="6" t="s">
        <v>36</v>
      </c>
      <c r="H11" s="6" t="s">
        <v>118</v>
      </c>
      <c r="I11" s="8"/>
      <c r="J11" s="9" t="s">
        <v>125</v>
      </c>
      <c r="K11" s="9" t="s">
        <v>79</v>
      </c>
      <c r="L11" s="9" t="s">
        <v>45</v>
      </c>
    </row>
    <row r="12" ht="45.0" customHeight="1">
      <c r="A12" s="10" t="s">
        <v>131</v>
      </c>
      <c r="B12" s="10">
        <v>5.0</v>
      </c>
      <c r="C12" s="10" t="s">
        <v>103</v>
      </c>
      <c r="D12" s="10" t="s">
        <v>104</v>
      </c>
      <c r="E12" s="10" t="s">
        <v>133</v>
      </c>
      <c r="F12" s="10" t="s">
        <v>27</v>
      </c>
      <c r="G12" s="11" t="s">
        <v>63</v>
      </c>
      <c r="H12" s="11" t="s">
        <v>134</v>
      </c>
      <c r="I12" s="3"/>
      <c r="J12" s="9" t="s">
        <v>131</v>
      </c>
      <c r="K12" s="9" t="s">
        <v>110</v>
      </c>
      <c r="L12" s="9" t="s">
        <v>45</v>
      </c>
    </row>
    <row r="13" ht="382.5" customHeight="1">
      <c r="A13" s="5" t="s">
        <v>135</v>
      </c>
      <c r="B13" s="5">
        <v>6.0</v>
      </c>
      <c r="C13" s="5" t="s">
        <v>68</v>
      </c>
      <c r="D13" s="5" t="s">
        <v>72</v>
      </c>
      <c r="E13" s="5" t="s">
        <v>136</v>
      </c>
      <c r="F13" s="5" t="s">
        <v>137</v>
      </c>
      <c r="G13" s="6" t="s">
        <v>36</v>
      </c>
      <c r="H13" s="6" t="s">
        <v>118</v>
      </c>
      <c r="I13" s="8"/>
      <c r="J13" s="9" t="s">
        <v>135</v>
      </c>
      <c r="K13" s="9" t="s">
        <v>79</v>
      </c>
      <c r="L13" s="9" t="s">
        <v>45</v>
      </c>
    </row>
    <row r="14" ht="186.75" customHeight="1">
      <c r="A14" s="10" t="s">
        <v>138</v>
      </c>
      <c r="B14" s="10">
        <v>6.0</v>
      </c>
      <c r="C14" s="10" t="s">
        <v>48</v>
      </c>
      <c r="D14" s="10" t="s">
        <v>49</v>
      </c>
      <c r="E14" s="10" t="s">
        <v>50</v>
      </c>
      <c r="F14" s="10" t="s">
        <v>139</v>
      </c>
      <c r="G14" s="11" t="s">
        <v>36</v>
      </c>
      <c r="H14" s="11" t="s">
        <v>88</v>
      </c>
      <c r="I14" s="3"/>
      <c r="J14" s="9" t="s">
        <v>138</v>
      </c>
      <c r="K14" s="9" t="s">
        <v>54</v>
      </c>
      <c r="L14" s="9" t="s">
        <v>45</v>
      </c>
    </row>
    <row r="15" ht="176.25" customHeight="1">
      <c r="A15" s="10" t="s">
        <v>140</v>
      </c>
      <c r="B15" s="10">
        <v>6.0</v>
      </c>
      <c r="C15" s="10" t="s">
        <v>94</v>
      </c>
      <c r="D15" s="10" t="s">
        <v>95</v>
      </c>
      <c r="E15" s="10" t="s">
        <v>141</v>
      </c>
      <c r="F15" s="10" t="s">
        <v>27</v>
      </c>
      <c r="G15" s="11" t="s">
        <v>63</v>
      </c>
      <c r="H15" s="11" t="s">
        <v>142</v>
      </c>
      <c r="I15" s="3"/>
      <c r="J15" s="9" t="s">
        <v>140</v>
      </c>
      <c r="K15" s="9" t="s">
        <v>100</v>
      </c>
      <c r="L15" s="9" t="s">
        <v>45</v>
      </c>
    </row>
    <row r="16" ht="45.0" customHeight="1">
      <c r="A16" s="10" t="s">
        <v>143</v>
      </c>
      <c r="B16" s="10">
        <v>6.0</v>
      </c>
      <c r="C16" s="10" t="s">
        <v>103</v>
      </c>
      <c r="D16" s="10" t="s">
        <v>104</v>
      </c>
      <c r="E16" s="10" t="s">
        <v>27</v>
      </c>
      <c r="F16" s="10" t="s">
        <v>144</v>
      </c>
      <c r="G16" s="11" t="s">
        <v>36</v>
      </c>
      <c r="H16" s="11" t="s">
        <v>145</v>
      </c>
      <c r="I16" s="3"/>
      <c r="J16" s="9" t="s">
        <v>143</v>
      </c>
      <c r="K16" s="9" t="s">
        <v>110</v>
      </c>
      <c r="L16" s="9" t="s">
        <v>45</v>
      </c>
    </row>
    <row r="17" ht="195.75" customHeight="1">
      <c r="A17" s="5" t="s">
        <v>146</v>
      </c>
      <c r="B17" s="5">
        <v>7.0</v>
      </c>
      <c r="C17" s="5" t="s">
        <v>147</v>
      </c>
      <c r="D17" s="5" t="s">
        <v>148</v>
      </c>
      <c r="E17" s="5" t="s">
        <v>149</v>
      </c>
      <c r="F17" s="5" t="s">
        <v>27</v>
      </c>
      <c r="G17" s="6" t="s">
        <v>63</v>
      </c>
      <c r="H17" s="6" t="s">
        <v>150</v>
      </c>
      <c r="I17" s="8"/>
      <c r="J17" s="9" t="s">
        <v>146</v>
      </c>
      <c r="K17" s="9" t="s">
        <v>151</v>
      </c>
      <c r="L17" s="9" t="s">
        <v>45</v>
      </c>
    </row>
    <row r="18" ht="382.5" customHeight="1">
      <c r="A18" s="10" t="s">
        <v>152</v>
      </c>
      <c r="B18" s="10">
        <v>7.0</v>
      </c>
      <c r="C18" s="10" t="s">
        <v>68</v>
      </c>
      <c r="D18" s="10" t="s">
        <v>72</v>
      </c>
      <c r="E18" s="10" t="s">
        <v>153</v>
      </c>
      <c r="F18" s="10" t="s">
        <v>154</v>
      </c>
      <c r="G18" s="11" t="s">
        <v>36</v>
      </c>
      <c r="H18" s="11" t="s">
        <v>155</v>
      </c>
      <c r="I18" s="3"/>
      <c r="J18" s="9" t="s">
        <v>152</v>
      </c>
      <c r="K18" s="9" t="s">
        <v>79</v>
      </c>
      <c r="L18" s="9" t="s">
        <v>45</v>
      </c>
    </row>
    <row r="19" ht="186.75" customHeight="1">
      <c r="A19" s="10" t="s">
        <v>156</v>
      </c>
      <c r="B19" s="10">
        <v>7.0</v>
      </c>
      <c r="C19" s="10" t="s">
        <v>48</v>
      </c>
      <c r="D19" s="10" t="s">
        <v>49</v>
      </c>
      <c r="E19" s="10" t="s">
        <v>50</v>
      </c>
      <c r="F19" s="10" t="s">
        <v>157</v>
      </c>
      <c r="G19" s="11" t="s">
        <v>36</v>
      </c>
      <c r="H19" s="11" t="s">
        <v>88</v>
      </c>
      <c r="I19" s="3"/>
      <c r="J19" s="9" t="s">
        <v>156</v>
      </c>
      <c r="K19" s="9" t="s">
        <v>54</v>
      </c>
      <c r="L19" s="9" t="s">
        <v>45</v>
      </c>
    </row>
    <row r="20" ht="45.0" customHeight="1">
      <c r="A20" s="10" t="s">
        <v>158</v>
      </c>
      <c r="B20" s="10">
        <v>7.0</v>
      </c>
      <c r="C20" s="10" t="s">
        <v>57</v>
      </c>
      <c r="D20" s="10" t="s">
        <v>59</v>
      </c>
      <c r="E20" s="10" t="s">
        <v>159</v>
      </c>
      <c r="F20" s="10" t="s">
        <v>27</v>
      </c>
      <c r="G20" s="11" t="s">
        <v>63</v>
      </c>
      <c r="H20" s="11" t="s">
        <v>160</v>
      </c>
      <c r="I20" s="3"/>
      <c r="J20" s="9" t="s">
        <v>158</v>
      </c>
      <c r="K20" s="9" t="s">
        <v>65</v>
      </c>
      <c r="L20" s="9" t="s">
        <v>45</v>
      </c>
    </row>
    <row r="21" ht="382.5" customHeight="1">
      <c r="A21" s="5" t="s">
        <v>161</v>
      </c>
      <c r="B21" s="5">
        <v>8.0</v>
      </c>
      <c r="C21" s="5" t="s">
        <v>68</v>
      </c>
      <c r="D21" s="5" t="s">
        <v>72</v>
      </c>
      <c r="E21" s="5" t="s">
        <v>162</v>
      </c>
      <c r="F21" s="5" t="s">
        <v>163</v>
      </c>
      <c r="G21" s="6" t="s">
        <v>36</v>
      </c>
      <c r="H21" s="6" t="s">
        <v>164</v>
      </c>
      <c r="I21" s="8"/>
      <c r="J21" s="9" t="s">
        <v>161</v>
      </c>
      <c r="K21" s="9" t="s">
        <v>79</v>
      </c>
      <c r="L21" s="9" t="s">
        <v>45</v>
      </c>
    </row>
    <row r="22" ht="45.0" customHeight="1">
      <c r="A22" s="10" t="s">
        <v>165</v>
      </c>
      <c r="B22" s="10">
        <v>8.0</v>
      </c>
      <c r="C22" s="10" t="s">
        <v>103</v>
      </c>
      <c r="D22" s="10" t="s">
        <v>104</v>
      </c>
      <c r="E22" s="10" t="s">
        <v>27</v>
      </c>
      <c r="F22" s="10" t="s">
        <v>166</v>
      </c>
      <c r="G22" s="11" t="s">
        <v>36</v>
      </c>
      <c r="H22" s="11" t="s">
        <v>167</v>
      </c>
      <c r="I22" s="3"/>
      <c r="J22" s="9" t="s">
        <v>165</v>
      </c>
      <c r="K22" s="9" t="s">
        <v>110</v>
      </c>
      <c r="L22" s="9" t="s">
        <v>45</v>
      </c>
    </row>
    <row r="23" ht="382.5" customHeight="1">
      <c r="A23" s="5" t="s">
        <v>168</v>
      </c>
      <c r="B23" s="5">
        <v>9.0</v>
      </c>
      <c r="C23" s="5" t="s">
        <v>68</v>
      </c>
      <c r="D23" s="5" t="s">
        <v>72</v>
      </c>
      <c r="E23" s="5" t="s">
        <v>169</v>
      </c>
      <c r="F23" s="5" t="s">
        <v>170</v>
      </c>
      <c r="G23" s="6" t="s">
        <v>36</v>
      </c>
      <c r="H23" s="6" t="s">
        <v>171</v>
      </c>
      <c r="I23" s="8"/>
      <c r="J23" s="9" t="s">
        <v>168</v>
      </c>
      <c r="K23" s="9" t="s">
        <v>79</v>
      </c>
      <c r="L23" s="9" t="s">
        <v>45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23">
    <cfRule type="expression" dxfId="0" priority="1">
      <formula>$G2=""</formula>
    </cfRule>
  </conditionalFormatting>
  <conditionalFormatting sqref="H2:I23">
    <cfRule type="expression" dxfId="1" priority="2">
      <formula>OR(AND($G2&lt;&gt;"",$H2=""),AND($G2="both fair: wording allows both",$I2=""))</formula>
    </cfRule>
  </conditionalFormatting>
  <dataValidations>
    <dataValidation type="list" allowBlank="1" showErrorMessage="1" sqref="G2:G23">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14.0"/>
    <col customWidth="1" min="4" max="4" width="70.0"/>
    <col customWidth="1" min="5" max="5" width="44.0"/>
    <col customWidth="1" min="6" max="6" width="40.0"/>
    <col customWidth="1" min="7" max="7" width="30.0"/>
    <col customWidth="1" min="8" max="9" width="44.0"/>
    <col customWidth="1" hidden="1" min="10" max="10" width="8.0"/>
    <col customWidth="1" hidden="1" min="11" max="12" width="10.0"/>
    <col customWidth="1" min="13" max="26" width="8.71"/>
  </cols>
  <sheetData>
    <row r="1" ht="48.0" customHeight="1">
      <c r="A1" s="2" t="s">
        <v>0</v>
      </c>
      <c r="B1" s="2" t="s">
        <v>3</v>
      </c>
      <c r="C1" s="2" t="s">
        <v>4</v>
      </c>
      <c r="D1" s="2" t="s">
        <v>5</v>
      </c>
      <c r="E1" s="2" t="s">
        <v>6</v>
      </c>
      <c r="F1" s="2" t="s">
        <v>7</v>
      </c>
      <c r="G1" s="2" t="s">
        <v>9</v>
      </c>
      <c r="H1" s="2" t="s">
        <v>10</v>
      </c>
      <c r="I1" s="2" t="s">
        <v>11</v>
      </c>
      <c r="J1" s="2" t="s">
        <v>13</v>
      </c>
      <c r="K1" s="2" t="s">
        <v>14</v>
      </c>
      <c r="L1" s="2" t="s">
        <v>15</v>
      </c>
    </row>
    <row r="2" ht="46.5" customHeight="1">
      <c r="A2" s="5" t="s">
        <v>19</v>
      </c>
      <c r="B2" s="5">
        <v>1.0</v>
      </c>
      <c r="C2" s="5" t="s">
        <v>23</v>
      </c>
      <c r="D2" s="5" t="s">
        <v>24</v>
      </c>
      <c r="E2" s="5" t="s">
        <v>27</v>
      </c>
      <c r="F2" s="5" t="s">
        <v>29</v>
      </c>
      <c r="G2" s="6" t="s">
        <v>36</v>
      </c>
      <c r="H2" s="6" t="s">
        <v>38</v>
      </c>
      <c r="I2" s="8"/>
      <c r="J2" s="9" t="s">
        <v>19</v>
      </c>
      <c r="K2" s="9" t="s">
        <v>52</v>
      </c>
      <c r="L2" s="9" t="s">
        <v>45</v>
      </c>
    </row>
    <row r="3" ht="45.0" customHeight="1">
      <c r="A3" s="10" t="s">
        <v>55</v>
      </c>
      <c r="B3" s="10">
        <v>1.0</v>
      </c>
      <c r="C3" s="10" t="s">
        <v>58</v>
      </c>
      <c r="D3" s="10" t="s">
        <v>61</v>
      </c>
      <c r="E3" s="10" t="s">
        <v>62</v>
      </c>
      <c r="F3" s="10" t="s">
        <v>27</v>
      </c>
      <c r="G3" s="11" t="s">
        <v>63</v>
      </c>
      <c r="H3" s="11" t="s">
        <v>66</v>
      </c>
      <c r="I3" s="3"/>
      <c r="J3" s="9" t="s">
        <v>55</v>
      </c>
      <c r="K3" s="9" t="s">
        <v>69</v>
      </c>
      <c r="L3" s="9" t="s">
        <v>45</v>
      </c>
    </row>
    <row r="4" ht="51.75" customHeight="1">
      <c r="A4" s="5" t="s">
        <v>70</v>
      </c>
      <c r="B4" s="5">
        <v>2.0</v>
      </c>
      <c r="C4" s="5" t="s">
        <v>71</v>
      </c>
      <c r="D4" s="5" t="s">
        <v>74</v>
      </c>
      <c r="E4" s="5" t="s">
        <v>76</v>
      </c>
      <c r="F4" s="5" t="s">
        <v>27</v>
      </c>
      <c r="G4" s="6" t="s">
        <v>78</v>
      </c>
      <c r="H4" s="6" t="s">
        <v>80</v>
      </c>
      <c r="I4" s="8"/>
      <c r="J4" s="9" t="s">
        <v>70</v>
      </c>
      <c r="K4" s="9" t="s">
        <v>82</v>
      </c>
      <c r="L4" s="9" t="s">
        <v>45</v>
      </c>
    </row>
    <row r="5" ht="45.0" customHeight="1">
      <c r="A5" s="10" t="s">
        <v>83</v>
      </c>
      <c r="B5" s="10">
        <v>2.0</v>
      </c>
      <c r="C5" s="10" t="s">
        <v>84</v>
      </c>
      <c r="D5" s="10" t="s">
        <v>85</v>
      </c>
      <c r="E5" s="10" t="s">
        <v>27</v>
      </c>
      <c r="F5" s="10" t="s">
        <v>87</v>
      </c>
      <c r="G5" s="11" t="s">
        <v>36</v>
      </c>
      <c r="H5" s="11" t="s">
        <v>89</v>
      </c>
      <c r="I5" s="3"/>
      <c r="J5" s="9" t="s">
        <v>83</v>
      </c>
      <c r="K5" s="9" t="s">
        <v>90</v>
      </c>
      <c r="L5" s="9" t="s">
        <v>45</v>
      </c>
    </row>
    <row r="6" ht="46.5" customHeight="1">
      <c r="A6" s="5" t="s">
        <v>93</v>
      </c>
      <c r="B6" s="5">
        <v>3.0</v>
      </c>
      <c r="C6" s="5" t="s">
        <v>23</v>
      </c>
      <c r="D6" s="5" t="s">
        <v>24</v>
      </c>
      <c r="E6" s="5" t="s">
        <v>97</v>
      </c>
      <c r="F6" s="5" t="s">
        <v>98</v>
      </c>
      <c r="G6" s="6" t="s">
        <v>36</v>
      </c>
      <c r="H6" s="6" t="s">
        <v>101</v>
      </c>
      <c r="I6" s="8"/>
      <c r="J6" s="9" t="s">
        <v>93</v>
      </c>
      <c r="K6" s="9" t="s">
        <v>52</v>
      </c>
      <c r="L6" s="9" t="s">
        <v>45</v>
      </c>
    </row>
    <row r="7" ht="46.5" customHeight="1">
      <c r="A7" s="5" t="s">
        <v>105</v>
      </c>
      <c r="B7" s="5">
        <v>4.0</v>
      </c>
      <c r="C7" s="5" t="s">
        <v>23</v>
      </c>
      <c r="D7" s="5" t="s">
        <v>24</v>
      </c>
      <c r="E7" s="5" t="s">
        <v>27</v>
      </c>
      <c r="F7" s="5" t="s">
        <v>109</v>
      </c>
      <c r="G7" s="6" t="s">
        <v>36</v>
      </c>
      <c r="H7" s="6" t="s">
        <v>112</v>
      </c>
      <c r="I7" s="8"/>
      <c r="J7" s="9" t="s">
        <v>105</v>
      </c>
      <c r="K7" s="9" t="s">
        <v>52</v>
      </c>
      <c r="L7" s="9" t="s">
        <v>45</v>
      </c>
    </row>
    <row r="8" ht="195.0" customHeight="1">
      <c r="A8" s="5" t="s">
        <v>113</v>
      </c>
      <c r="B8" s="5">
        <v>5.0</v>
      </c>
      <c r="C8" s="5" t="s">
        <v>22</v>
      </c>
      <c r="D8" s="5" t="s">
        <v>25</v>
      </c>
      <c r="E8" s="5" t="s">
        <v>117</v>
      </c>
      <c r="F8" s="5" t="s">
        <v>27</v>
      </c>
      <c r="G8" s="6" t="s">
        <v>63</v>
      </c>
      <c r="H8" s="6" t="s">
        <v>123</v>
      </c>
      <c r="I8" s="8"/>
      <c r="J8" s="9" t="s">
        <v>113</v>
      </c>
      <c r="K8" s="9" t="s">
        <v>44</v>
      </c>
      <c r="L8" s="9" t="s">
        <v>45</v>
      </c>
    </row>
    <row r="9" ht="45.0" customHeight="1">
      <c r="A9" s="5" t="s">
        <v>124</v>
      </c>
      <c r="B9" s="5">
        <v>6.0</v>
      </c>
      <c r="C9" s="5" t="s">
        <v>84</v>
      </c>
      <c r="D9" s="5" t="s">
        <v>85</v>
      </c>
      <c r="E9" s="5" t="s">
        <v>27</v>
      </c>
      <c r="F9" s="5" t="s">
        <v>126</v>
      </c>
      <c r="G9" s="6" t="s">
        <v>36</v>
      </c>
      <c r="H9" s="6" t="s">
        <v>127</v>
      </c>
      <c r="I9" s="8"/>
      <c r="J9" s="9" t="s">
        <v>124</v>
      </c>
      <c r="K9" s="9" t="s">
        <v>90</v>
      </c>
      <c r="L9" s="9" t="s">
        <v>45</v>
      </c>
    </row>
    <row r="10" ht="195.0" customHeight="1">
      <c r="A10" s="5" t="s">
        <v>130</v>
      </c>
      <c r="B10" s="5">
        <v>7.0</v>
      </c>
      <c r="C10" s="5" t="s">
        <v>22</v>
      </c>
      <c r="D10" s="5" t="s">
        <v>25</v>
      </c>
      <c r="E10" s="5" t="s">
        <v>132</v>
      </c>
      <c r="F10" s="5" t="s">
        <v>27</v>
      </c>
      <c r="G10" s="6" t="s">
        <v>63</v>
      </c>
      <c r="H10" s="6" t="s">
        <v>123</v>
      </c>
      <c r="I10" s="8"/>
      <c r="J10" s="9" t="s">
        <v>130</v>
      </c>
      <c r="K10" s="9" t="s">
        <v>44</v>
      </c>
      <c r="L10" s="9"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0">
    <cfRule type="expression" dxfId="0" priority="1">
      <formula>$G2=""</formula>
    </cfRule>
  </conditionalFormatting>
  <conditionalFormatting sqref="H2:I10">
    <cfRule type="expression" dxfId="1" priority="2">
      <formula>OR(AND($G2&lt;&gt;"",$H2=""),AND($G2="both fair: wording allows both",$I2=""))</formula>
    </cfRule>
  </conditionalFormatting>
  <dataValidations>
    <dataValidation type="list" allowBlank="1" showErrorMessage="1" sqref="G2:G10">
      <formula1>"label right: grader misread,grader right: label missed it,both fair: wording allows both,close call: wording is clear,neither: see why"</formula1>
    </dataValidation>
  </dataValidations>
  <printOptions/>
  <pageMargins bottom="1.0" footer="0.0" header="0.0" left="0.75" right="0.75" top="1.0"/>
  <pageSetup orientation="landscape"/>
  <drawing r:id="rId1"/>
</worksheet>
</file>