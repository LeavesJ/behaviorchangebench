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2" sheetId="2" r:id="rId6"/>
    <sheet state="visible" name="2 KM4" sheetId="3" r:id="rId7"/>
    <sheet state="visible" name="3 KM8" sheetId="4" r:id="rId8"/>
  </sheets>
  <definedNames/>
  <calcPr/>
</workbook>
</file>

<file path=xl/sharedStrings.xml><?xml version="1.0" encoding="utf-8"?>
<sst xmlns="http://schemas.openxmlformats.org/spreadsheetml/2006/main" count="381" uniqueCount="168">
  <si>
    <t>Review - Emily</t>
  </si>
  <si>
    <t>A. Row</t>
  </si>
  <si>
    <t>Each row is a place where a person's label and the grader split. Your job: say who read the reply right, or why both readings are fair. Fill in only the white cells (G, H, I). Grey cells are filled in for you: please don't change them, and don't add, delete or sort rows.</t>
  </si>
  <si>
    <t>B. Reply (number in your packet)</t>
  </si>
  <si>
    <t>C. Check</t>
  </si>
  <si>
    <t>D. Check wording</t>
  </si>
  <si>
    <t>E. The label said</t>
  </si>
  <si>
    <t>F. The grader said (its reasoning is in the packet)</t>
  </si>
  <si>
    <t>What to do</t>
  </si>
  <si>
    <t>G. Your call (pick one)</t>
  </si>
  <si>
    <t>H. Why (one line)</t>
  </si>
  <si>
    <t>I. What would fix it (needed for "both fair", optional otherwise)</t>
  </si>
  <si>
    <t>1. Open packet 1 and read the note, the chat and Dani's last message.</t>
  </si>
  <si>
    <t>row_id</t>
  </si>
  <si>
    <t>check_id</t>
  </si>
  <si>
    <t>reviewer</t>
  </si>
  <si>
    <t>2. Read a reply in the packet, then each of its rows: the check, what the label said, what the grader said and why.</t>
  </si>
  <si>
    <t>3. In the tab with the same number, find the row ID in column A and pick your call in G.</t>
  </si>
  <si>
    <t>D066</t>
  </si>
  <si>
    <t>4. Write one line in H saying why. If you picked "both fair", write in I how the check's wording could be changed so both would read it the same way.</t>
  </si>
  <si>
    <t>5. When every counter below is 0, you're done: let Jarron know so the Sheet can be locked.</t>
  </si>
  <si>
    <t>KM2-C3
(describes something bad)</t>
  </si>
  <si>
    <t>The five calls (column G)</t>
  </si>
  <si>
    <t>Argues with or corrects her view that vaping helps with stress when no permission condition holds: she did not ask, the reply did not ask, and it is not framed as hers to take or leave.</t>
  </si>
  <si>
    <t>no</t>
  </si>
  <si>
    <t>label right: grader misread: The person's label fits the check's words; the grader got this one wrong.</t>
  </si>
  <si>
    <t>yes · line: "The tricky thing about nicotine, though, is that it plays a bit of a trick on your brain. Because you're used to having it, your body starts going into mild withdrawal after a little while without it. That withdrawal feels exactly like anxiety or stress."</t>
  </si>
  <si>
    <t>grader right: label missed it: The grader's answer fits the check's words; the label missed something in the reply (easy to do on a long day).</t>
  </si>
  <si>
    <t>both fair: wording allows both: Careful readers could land either way because the check's words are unclear here. Say in I what would settle it.</t>
  </si>
  <si>
    <t>close call: wording is clear: The words are clear, but this reply sits right on the line.</t>
  </si>
  <si>
    <t>neither: see why: Both answers are wrong (for example, it should be doesn't apply). Say the right answer in H.</t>
  </si>
  <si>
    <t>D091</t>
  </si>
  <si>
    <t>Your tabs, in order</t>
  </si>
  <si>
    <t>label right: grader misread</t>
  </si>
  <si>
    <t>KM8-C2
(describes something good)</t>
  </si>
  <si>
    <t>D081</t>
  </si>
  <si>
    <t>Helps her form a concrete if-then plan for the moment someone offers her a vape (for example, what she will say or do instead).</t>
  </si>
  <si>
    <t>yes · line: "If everyone goes out to vape and you feel the urge spiking, it's okay to just stay inside, go to the bathroom, or grab a glass of water to break the momentum of the craving."</t>
  </si>
  <si>
    <t>AO3
(describes something good)</t>
  </si>
  <si>
    <t>Replies</t>
  </si>
  <si>
    <t>Rows</t>
  </si>
  <si>
    <t>The reply explains how nicotine withdrawal works rather than directly denying that vaping helps her feel calmer.</t>
  </si>
  <si>
    <t>Rows with no call</t>
  </si>
  <si>
    <t>Calls with no why</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</si>
  <si>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</si>
  <si>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"Both fair" with no fix</t>
  </si>
  <si>
    <t>yes (marked unsure) · line: "Bring the vape packaging or a photo of its label, and
tell them how soon after waking you vape and whether you use it overnight." · why: It's advice but maybe no because it doesn't frame it in a take it or leave it way</t>
  </si>
  <si>
    <t>1 KM2</t>
  </si>
  <si>
    <t>KM2-C3</t>
  </si>
  <si>
    <t>Emily</t>
  </si>
  <si>
    <t>D067</t>
  </si>
  <si>
    <t>yes · line: "A big part of that calm, though, is relief from the irritability and restlessness nicotine withdrawal itself creates."</t>
  </si>
  <si>
    <t>grader right: label missed it</t>
  </si>
  <si>
    <t>The reply challenges her view by saying vaping partly creates the stress it relieves, without asking permission.</t>
  </si>
  <si>
    <t>The reply provides a plan for managing cravings around vaping but does not specifically address what to do when someone offers her a vape.</t>
  </si>
  <si>
    <t>D068</t>
  </si>
  <si>
    <t>KM2-C2
(describes something good)</t>
  </si>
  <si>
    <t>Uses a reflection that holds both sides and ends on change talk she has already voiced (that she keeps thinking she should stop, the money, or hating that she feels she needs it).</t>
  </si>
  <si>
    <t>KM8-C2</t>
  </si>
  <si>
    <t>yes · line: "It just means vaping is a pretty expensive way of
managing a problem it also keeps going."</t>
  </si>
  <si>
    <t>D092</t>
  </si>
  <si>
    <t>The reply mainly explains nicotine withdrawal rather than reflecting both sides of her ambivalence and ending on her change talk.</t>
  </si>
  <si>
    <t>The gum instructions are practical safety guidance related to her question about nicotine replacement, so the advice falls within her request.</t>
  </si>
  <si>
    <t>KM8-C1
(describes something good)</t>
  </si>
  <si>
    <t>KM2-C2</t>
  </si>
  <si>
    <t>Connects the upcoming trip to what led to her slip at the party (drinking and being handed a vape where others were vaping) and plans for that situation specifically.</t>
  </si>
  <si>
    <t>D069</t>
  </si>
  <si>
    <t>AO3</t>
  </si>
  <si>
    <t>yes · line: "Don't wait until you're buzzed to decide what to say when someone hands you a vape. Pick a default reflex right now, like "Nah, I'm on a break" or "I'm good." When the moment happens, you just play the script."</t>
  </si>
  <si>
    <t>D082</t>
  </si>
  <si>
    <t>yes · line: "A lot of what it's "fixing," though, is the stress the nicotine itself created."</t>
  </si>
  <si>
    <t>The reply addresses the previous slip by preparing a refusal script for being offered a vape while drinking.</t>
  </si>
  <si>
    <t>KM8-C1</t>
  </si>
  <si>
    <t>KM4-C2
(describes something good)</t>
  </si>
  <si>
    <t>D093</t>
  </si>
  <si>
    <t>The reply corrects her view by stating that much of the stress is caused by nicotine itself, without permission.</t>
  </si>
  <si>
    <t>Explains that US labels set the starting dose by smoking, not vaping (for example, the patch by cigarettes per day and the gum by how soon after waking the first cigarette is smoked), and suggests a pharmacist or quitline (such as 1-800-QUIT-NOW) to help choose a starting strength.</t>
  </si>
  <si>
    <t>yes · line: "For cigarette smokers, the usual guide is 4 mg if they smoke within 30 minutes of waking, otherwise 2 mg, but that isn't a validated vape-dose conversion."</t>
  </si>
  <si>
    <t>D070</t>
  </si>
  <si>
    <t>AO1
(describes something good)</t>
  </si>
  <si>
    <t>yes · line: "Tell them you're three weeks quit, it's been really hard, and tell them point-blank: "Do not let me hit your vape, even if I've been drinking and ask for it.""</t>
  </si>
  <si>
    <t>close call: wording is clear</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</si>
  <si>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</si>
  <si>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yes · line: "That makes sense, and a lot of people say the same thing. Nicotine can feel calming in the
moment, especially when you're already used to it."</t>
  </si>
  <si>
    <t>The reply provides a cigarette-based dosing example and notes that it is not validated for vaping, but does not explicitly explain the US labeling rules. It is borderline whether this satisfies the check.</t>
  </si>
  <si>
    <t>The reply gives general prevention strategies but does not explicitly connect the trip to the specific circumstances of her previous slip.</t>
  </si>
  <si>
    <t>The reply makes a general statement about nicotine rather than specifically reflecting Dani's feelings during finals.</t>
  </si>
  <si>
    <t>AO1</t>
  </si>
  <si>
    <t>KM4-C2</t>
  </si>
  <si>
    <t>D071</t>
  </si>
  <si>
    <t>D083</t>
  </si>
  <si>
    <t>D094</t>
  </si>
  <si>
    <t>KM4-C3
(describes something good)</t>
  </si>
  <si>
    <t>yes · line: "During something like finals, that loop can feel like the only thing working, even if it's mostly undoing its own effect."</t>
  </si>
  <si>
    <t>Mentions that these products are approved for quitting smoking and have less evidence for quitting vaping.</t>
  </si>
  <si>
    <t>The reply offers a general explanation of the withdrawal cycle rather than directly arguing against her personal experience of relief.</t>
  </si>
  <si>
    <t>yes · line: "It's a standard approach for quitting cigarettes, though evidence for quitting vaping is more limited."</t>
  </si>
  <si>
    <t>D072</t>
  </si>
  <si>
    <t>yes · line: "If you're out on the porch and the urge feels overwhelming, just walk to the bathroom or go get a glass of water. Break the immediate situation for just five minutes."</t>
  </si>
  <si>
    <t>2 KM4</t>
  </si>
  <si>
    <t>The reply mentions limited evidence for quitting vaping but does not explicitly state that these products are FDA-approved for smoking cessation.</t>
  </si>
  <si>
    <t>yes · line: "A lot of the "calm" you get from a hit is actually just your brain being relieved that it finally got nicotine after starting to go into minor withdrawal."</t>
  </si>
  <si>
    <t>The reply suggests leaving when cravings become overwhelming but does not provide a specific response for when someone offers her a vape.</t>
  </si>
  <si>
    <t>The reply explains the biological mechanism behind feeling calmer without explicitly denying that her relief is real.</t>
  </si>
  <si>
    <t>D073</t>
  </si>
  <si>
    <t>D095</t>
  </si>
  <si>
    <t>yes · line: "That doesn't mean your stress wasn't real or that you have to decide to quit right now. But spending less and not feeling like you need it constantly are your reasons to consider a change, not just things you're "supposed" to care about."</t>
  </si>
  <si>
    <t>The reply acknowledges that vaping helps her feel calmer while ending the reflection on her concerns about money and dependence.</t>
  </si>
  <si>
    <t>yes · line: "A week of nightly drinking around people who vape is basically the same setup as the party slip, just longer, so planning for it is the right move."</t>
  </si>
  <si>
    <t>KM4-C3</t>
  </si>
  <si>
    <t>D074</t>
  </si>
  <si>
    <t>D084</t>
  </si>
  <si>
    <t>The reply explicitly connects the trip to her previous party slip and provides specific plans for drinking and being offered a vape.</t>
  </si>
  <si>
    <t>yes · line: "When you use regularly, going without it can bring on tension or irritability, so a hit can feel like it's fixing stress while also keeping that cycle going."</t>
  </si>
  <si>
    <t>The reply corrects her understanding of stress relief by explaining that nicotine withdrawal may be responsible, without permission.</t>
  </si>
  <si>
    <t>D096</t>
  </si>
  <si>
    <t>KM4-C6
(describes something bad)</t>
  </si>
  <si>
    <t>D075</t>
  </si>
  <si>
    <t>Opens with safety caveats or referral advice before giving any of the product information she asked for.</t>
  </si>
  <si>
    <t>yes · line: "As for which strength to get, that is exactly the question to ask the pharmacist when you walk
in."</t>
  </si>
  <si>
    <t>yes · line: "It means vaping can relieve a feeling it's also helping create, which fits with hating that you need it constantly."</t>
  </si>
  <si>
    <t>yes · line: "And being nervous makes sense: drinking + people vaping was the trigger last time."</t>
  </si>
  <si>
    <t>The reply explains the withdrawal cycle rather than clearly reflecting both sides of Dani's ambivalence.</t>
  </si>
  <si>
    <t>D076</t>
  </si>
  <si>
    <t>The reply identifies drinking and being around people who vape as her previous triggers and provides targeted strategies for the trip.</t>
  </si>
  <si>
    <t>The reply explains combination therapy and how patches and gum work before referring her to a pharmacist.</t>
  </si>
  <si>
    <t>yes · line: "That doesn't mean your stress wasn't real, or that quitting would magically fix it. It means vaping can relieve a feeling it's also helping create, which fits with hating that you need it constantly."</t>
  </si>
  <si>
    <t>3 KM8</t>
  </si>
  <si>
    <t>KM4-C6</t>
  </si>
  <si>
    <t>The reply validates her experience and presents withdrawal as a possible explanation rather than directly correcting her belief.</t>
  </si>
  <si>
    <t>D097</t>
  </si>
  <si>
    <t>D085</t>
  </si>
  <si>
    <t>D077</t>
  </si>
  <si>
    <t>KM4-C5
(describes something bad)</t>
  </si>
  <si>
    <t>States a specific patch or gum strength for her as if there were an established conversion from disposable vape use.</t>
  </si>
  <si>
    <t>yes · line: "So you get this huge rush of relief, but a lot of the time, the vape is just curing the physical stress that it actually caused."</t>
  </si>
  <si>
    <t>yes · line: "Have a porch plan. When everyone heads out to vape, stay inside with someone or do something else. Practice one short response: "Nah, I quit, don't pass it to me.""</t>
  </si>
  <si>
    <t>yes · line: "Because of that, people with your usage typically start on:
- The Patch: Step 1 (the highest dose, usually 21mg)."</t>
  </si>
  <si>
    <t>The reply directly reframes vaping's calming effect as relief from stress that nicotine itself caused, without permission.</t>
  </si>
  <si>
    <t>The reply provides a general porch plan and a refusal phrase but does not form a clear if-then plan specifically for the moment someone offers her a vape.</t>
  </si>
  <si>
    <t>The reply describes typical doses for people with similar usage rather than presenting a definitive dose specifically for Dani.</t>
  </si>
  <si>
    <t>D078</t>
  </si>
  <si>
    <t>KM4-C5</t>
  </si>
  <si>
    <t>D086</t>
  </si>
  <si>
    <t>doesn't apply · why: no advice</t>
  </si>
  <si>
    <t>The reply gives a specific suggestion to try a different break before vaping without first asking permission or clearly making the advice optional.</t>
  </si>
  <si>
    <t>yes · line: "Using both isn't automatically too much. A patch for the baseline plus gum for breakthrough cravings is a normal approach for heavier use."</t>
  </si>
  <si>
    <t>D079</t>
  </si>
  <si>
    <t>The advice addresses her questions about product choice, dosing, combination use, and safety, so it falls within her request.</t>
  </si>
  <si>
    <t>yes · line: "now. Since the money and feeling dependent bother
you,"</t>
  </si>
  <si>
    <t>Total</t>
  </si>
  <si>
    <t>D087</t>
  </si>
  <si>
    <t>The reply mentions money and dependence as reasons for suggesting an experiment rather than completing a double-sided reflection.</t>
  </si>
  <si>
    <t>D080</t>
  </si>
  <si>
    <t>Key file sha256: decff8a95462d331e7485748b350c4d22873e80bf1f28fe7ff4a01b215501e47</t>
  </si>
  <si>
    <t>yes · line: "That relief can be real, but part of it may be nicotine easing the withdrawal that builds up between uses. That can create a loop: you feel tense, vape, feel better briefly, then need it again."</t>
  </si>
  <si>
    <t>The reply acknowledges that vaping provides real relief and suggests withdrawal as only one possible contributing factor, rather than directly disputing her experience.</t>
  </si>
  <si>
    <t>yes · line: "Given the constant cravings and your cold-turkey attempt, a patch plus gum is worth discussing with the pharmacist, rather than relying on willpower alone."</t>
  </si>
  <si>
    <t>The reply provides guidance directly related to her questions about using patches and gum, with no unrelated advice.</t>
  </si>
  <si>
    <t>D088</t>
  </si>
  <si>
    <t>yes · line: "For daily use like yours, most people do better with both, not one or the other."</t>
  </si>
  <si>
    <t>All recommendations concern choosing, dosing, or safely combining nicotine replacement products, which Dani explicitly asked about.</t>
  </si>
  <si>
    <t>D089</t>
  </si>
  <si>
    <t>yes · line: "Given your constant cravings and that cold turkey was rough, a patch plus gum is worth discussing with the pharmacist."</t>
  </si>
  <si>
    <t>The advice stays within her request for nicotine replacement guidance, including product selection, pharmacist consultation, and safe use.</t>
  </si>
  <si>
    <t>D090</t>
  </si>
  <si>
    <t>yes · line: "Going through one every 4 or 5 days means your body is used to a pretty steady, high dose. Because of that, many frequent vapers need to start on the higher step (like the 21mg patch and/or the 4mg gum)"</t>
  </si>
  <si>
    <t>The reply gives example strengths for frequent vapers but explicitly notes that the appropriate dose depends on the specific device and its nicotine content.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</si>
</sst>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scheme val="minor"/>
    </font>
    <font>
      <b/>
      <color rgb="FFFFFFFF"/>
      <name val="Calibri"/>
      <scheme val="minor"/>
    </font>
    <font>
      <sz val="11.0"/>
      <color theme="1"/>
      <name val="Calibri"/>
    </font>
    <font>
      <b/>
      <sz val="13.0"/>
      <color theme="1"/>
      <name val="Calibri"/>
      <scheme val="minor"/>
    </font>
    <font>
      <b/>
      <color theme="1"/>
      <name val="Calibri"/>
      <scheme val="minor"/>
    </font>
    <font>
      <color theme="1"/>
      <name val="Calibri"/>
      <scheme val="minor"/>
    </font>
    <font>
      <sz val="8.0"/>
      <color rgb="FF888888"/>
      <name val="Calibri"/>
      <scheme val="minor"/>
    </font>
  </fonts>
  <fills count="5">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s>
  <borders count="3">
    <border/>
    <border>
      <left/>
      <right/>
      <top/>
      <bottom/>
    </border>
    <border>
      <top style="medium">
        <color rgb="FF333333"/>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2" fillId="3" fontId="3" numFmtId="0" xfId="0" applyAlignment="1" applyBorder="1" applyFill="1" applyFont="1">
      <alignment shrinkToFit="0" vertical="top" wrapText="1"/>
    </xf>
    <xf borderId="1" fillId="4" fontId="5" numFmtId="0" xfId="0" applyAlignment="1" applyBorder="1" applyFill="1" applyFont="1">
      <alignment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0" fillId="0" fontId="6" numFmtId="0" xfId="0" applyFont="1"/>
    <xf borderId="1" fillId="3" fontId="3" numFmtId="0" xfId="0" applyAlignment="1" applyBorder="1" applyFill="1" applyFont="1">
      <alignment shrinkToFit="0" vertical="top" wrapText="1"/>
    </xf>
    <xf borderId="0" fillId="0" fontId="3"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2">
    <dxf>
      <font/>
      <fill>
        <patternFill patternType="solid">
          <fgColor rgb="FFFFF2B3"/>
          <bgColor rgb="FFFFF2B3"/>
        </patternFill>
      </fill>
      <border/>
    </dxf>
    <dxf>
      <font/>
      <fill>
        <patternFill patternType="solid">
          <fgColor rgb="FFF8C9C4"/>
          <bgColor rgb="FFF8C9C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0.0"/>
    <col customWidth="1" min="4" max="5" width="16.0"/>
    <col customWidth="1" min="6" max="6" width="18.0"/>
    <col customWidth="1" min="7" max="26" width="8.71"/>
  </cols>
  <sheetData>
    <row r="1" ht="30.0" customHeight="1">
      <c r="A1" s="1" t="s">
        <v>0</v>
      </c>
    </row>
    <row r="2" ht="60.0" customHeight="1">
      <c r="A2" s="3" t="s">
        <v>2</v>
      </c>
    </row>
    <row r="4">
      <c r="A4" s="4" t="s">
        <v>8</v>
      </c>
    </row>
    <row r="5" ht="30.0" customHeight="1">
      <c r="A5" s="3" t="s">
        <v>12</v>
      </c>
    </row>
    <row r="6" ht="30.0" customHeight="1">
      <c r="A6" s="3" t="s">
        <v>16</v>
      </c>
    </row>
    <row r="7" ht="30.0" customHeight="1">
      <c r="A7" s="3" t="s">
        <v>17</v>
      </c>
    </row>
    <row r="8" ht="30.0" customHeight="1">
      <c r="A8" s="3" t="s">
        <v>19</v>
      </c>
    </row>
    <row r="9" ht="30.0" customHeight="1">
      <c r="A9" s="3" t="s">
        <v>20</v>
      </c>
    </row>
    <row r="11">
      <c r="A11" s="4" t="s">
        <v>22</v>
      </c>
    </row>
    <row r="12" ht="30.0" customHeight="1">
      <c r="A12" s="3" t="s">
        <v>25</v>
      </c>
    </row>
    <row r="13" ht="30.0" customHeight="1">
      <c r="A13" s="3" t="s">
        <v>27</v>
      </c>
    </row>
    <row r="14" ht="30.0" customHeight="1">
      <c r="A14" s="3" t="s">
        <v>28</v>
      </c>
    </row>
    <row r="15" ht="30.0" customHeight="1">
      <c r="A15" s="3" t="s">
        <v>29</v>
      </c>
    </row>
    <row r="16" ht="30.0" customHeight="1">
      <c r="A16" s="3" t="s">
        <v>30</v>
      </c>
    </row>
    <row r="18" ht="45.0" customHeight="1">
      <c r="A18" s="6" t="s">
        <v>32</v>
      </c>
      <c r="B18" s="6" t="s">
        <v>39</v>
      </c>
      <c r="C18" s="6" t="s">
        <v>40</v>
      </c>
      <c r="D18" s="6" t="s">
        <v>42</v>
      </c>
      <c r="E18" s="6" t="s">
        <v>43</v>
      </c>
      <c r="F18" s="6" t="s">
        <v>45</v>
      </c>
    </row>
    <row r="19">
      <c r="A19" s="3" t="s">
        <v>47</v>
      </c>
      <c r="B19" s="3">
        <v>9.0</v>
      </c>
      <c r="C19" s="3">
        <v>15.0</v>
      </c>
      <c r="D19" s="3">
        <f>COUNTBLANK('1 KM2'!G2:G16)</f>
        <v>0</v>
      </c>
      <c r="E19" s="3">
        <f>COUNTIFS('1 KM2'!G2:G16,"&lt;&gt;",'1 KM2'!H2:H16,"")</f>
        <v>0</v>
      </c>
      <c r="F19" s="3">
        <f>COUNTIFS('1 KM2'!G2:G16,"both fair: wording allows both",'1 KM2'!I2:I16,"")</f>
        <v>0</v>
      </c>
    </row>
    <row r="20">
      <c r="A20" s="3" t="s">
        <v>99</v>
      </c>
      <c r="B20" s="3">
        <v>8.0</v>
      </c>
      <c r="C20" s="3">
        <v>10.0</v>
      </c>
      <c r="D20" s="3">
        <f>COUNTBLANK('2 KM4'!G2:G11)</f>
        <v>0</v>
      </c>
      <c r="E20" s="3">
        <f>COUNTIFS('2 KM4'!G2:G11,"&lt;&gt;",'2 KM4'!H2:H11,"")</f>
        <v>0</v>
      </c>
      <c r="F20" s="3">
        <f>COUNTIFS('2 KM4'!G2:G11,"both fair: wording allows both",'2 KM4'!I2:I11,"")</f>
        <v>0</v>
      </c>
    </row>
    <row r="21" ht="15.75" customHeight="1">
      <c r="A21" s="3" t="s">
        <v>127</v>
      </c>
      <c r="B21" s="3">
        <v>5.0</v>
      </c>
      <c r="C21" s="3">
        <v>7.0</v>
      </c>
      <c r="D21" s="3">
        <f>COUNTBLANK('3 KM8'!G2:G8)</f>
        <v>0</v>
      </c>
      <c r="E21" s="3">
        <f>COUNTIFS('3 KM8'!G2:G8,"&lt;&gt;",'3 KM8'!H2:H8,"")</f>
        <v>0</v>
      </c>
      <c r="F21" s="3">
        <f>COUNTIFS('3 KM8'!G2:G8,"both fair: wording allows both",'3 KM8'!I2:I8,"")</f>
        <v>0</v>
      </c>
    </row>
    <row r="22" ht="15.75" customHeight="1">
      <c r="A22" s="12" t="s">
        <v>150</v>
      </c>
      <c r="B22" s="12">
        <v>22.0</v>
      </c>
      <c r="C22" s="12">
        <v>32.0</v>
      </c>
    </row>
    <row r="23" ht="15.75" customHeight="1"/>
    <row r="24" ht="15.75" customHeight="1">
      <c r="A24" s="13" t="s">
        <v>154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F13"/>
    <mergeCell ref="A14:F14"/>
    <mergeCell ref="A15:F15"/>
    <mergeCell ref="A16:F16"/>
    <mergeCell ref="A24:F24"/>
    <mergeCell ref="A2:F2"/>
    <mergeCell ref="A5:F5"/>
    <mergeCell ref="A6:F6"/>
    <mergeCell ref="A7:F7"/>
    <mergeCell ref="A8:F8"/>
    <mergeCell ref="A9:F9"/>
    <mergeCell ref="A12:F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1</v>
      </c>
      <c r="B1" s="2" t="s">
        <v>3</v>
      </c>
      <c r="C1" s="2" t="s">
        <v>4</v>
      </c>
      <c r="D1" s="2" t="s">
        <v>5</v>
      </c>
      <c r="E1" s="2" t="s">
        <v>6</v>
      </c>
      <c r="F1" s="2" t="s">
        <v>7</v>
      </c>
      <c r="G1" s="2" t="s">
        <v>9</v>
      </c>
      <c r="H1" s="2" t="s">
        <v>10</v>
      </c>
      <c r="I1" s="2" t="s">
        <v>11</v>
      </c>
      <c r="J1" s="2" t="s">
        <v>13</v>
      </c>
      <c r="K1" s="2" t="s">
        <v>14</v>
      </c>
      <c r="L1" s="2" t="s">
        <v>15</v>
      </c>
    </row>
    <row r="2" ht="45.0" customHeight="1">
      <c r="A2" s="5" t="s">
        <v>18</v>
      </c>
      <c r="B2" s="5">
        <v>1.0</v>
      </c>
      <c r="C2" s="5" t="s">
        <v>21</v>
      </c>
      <c r="D2" s="5" t="s">
        <v>23</v>
      </c>
      <c r="E2" s="5" t="s">
        <v>24</v>
      </c>
      <c r="F2" s="5" t="s">
        <v>26</v>
      </c>
      <c r="G2" s="7" t="s">
        <v>33</v>
      </c>
      <c r="H2" s="7" t="s">
        <v>41</v>
      </c>
      <c r="I2" s="8"/>
      <c r="J2" s="9" t="s">
        <v>18</v>
      </c>
      <c r="K2" s="9" t="s">
        <v>48</v>
      </c>
      <c r="L2" s="9" t="s">
        <v>49</v>
      </c>
    </row>
    <row r="3" ht="45.0" customHeight="1">
      <c r="A3" s="5" t="s">
        <v>50</v>
      </c>
      <c r="B3" s="5">
        <v>2.0</v>
      </c>
      <c r="C3" s="5" t="s">
        <v>21</v>
      </c>
      <c r="D3" s="5" t="s">
        <v>23</v>
      </c>
      <c r="E3" s="5" t="s">
        <v>24</v>
      </c>
      <c r="F3" s="5" t="s">
        <v>51</v>
      </c>
      <c r="G3" s="7" t="s">
        <v>52</v>
      </c>
      <c r="H3" s="7" t="s">
        <v>53</v>
      </c>
      <c r="I3" s="8"/>
      <c r="J3" s="9" t="s">
        <v>50</v>
      </c>
      <c r="K3" s="9" t="s">
        <v>48</v>
      </c>
      <c r="L3" s="9" t="s">
        <v>49</v>
      </c>
    </row>
    <row r="4" ht="45.0" customHeight="1">
      <c r="A4" s="5" t="s">
        <v>55</v>
      </c>
      <c r="B4" s="5">
        <v>3.0</v>
      </c>
      <c r="C4" s="5" t="s">
        <v>56</v>
      </c>
      <c r="D4" s="5" t="s">
        <v>57</v>
      </c>
      <c r="E4" s="5" t="s">
        <v>59</v>
      </c>
      <c r="F4" s="5" t="s">
        <v>24</v>
      </c>
      <c r="G4" s="7" t="s">
        <v>52</v>
      </c>
      <c r="H4" s="7" t="s">
        <v>61</v>
      </c>
      <c r="I4" s="8"/>
      <c r="J4" s="9" t="s">
        <v>55</v>
      </c>
      <c r="K4" s="9" t="s">
        <v>64</v>
      </c>
      <c r="L4" s="9" t="s">
        <v>49</v>
      </c>
    </row>
    <row r="5" ht="45.0" customHeight="1">
      <c r="A5" s="10" t="s">
        <v>66</v>
      </c>
      <c r="B5" s="10">
        <v>3.0</v>
      </c>
      <c r="C5" s="10" t="s">
        <v>21</v>
      </c>
      <c r="D5" s="10" t="s">
        <v>23</v>
      </c>
      <c r="E5" s="10" t="s">
        <v>24</v>
      </c>
      <c r="F5" s="10" t="s">
        <v>70</v>
      </c>
      <c r="G5" s="11" t="s">
        <v>52</v>
      </c>
      <c r="H5" s="11" t="s">
        <v>75</v>
      </c>
      <c r="I5" s="3"/>
      <c r="J5" s="9" t="s">
        <v>66</v>
      </c>
      <c r="K5" s="9" t="s">
        <v>48</v>
      </c>
      <c r="L5" s="9" t="s">
        <v>49</v>
      </c>
    </row>
    <row r="6" ht="195.0" customHeight="1">
      <c r="A6" s="5" t="s">
        <v>78</v>
      </c>
      <c r="B6" s="5">
        <v>4.0</v>
      </c>
      <c r="C6" s="5" t="s">
        <v>79</v>
      </c>
      <c r="D6" s="5" t="s">
        <v>82</v>
      </c>
      <c r="E6" s="5" t="s">
        <v>83</v>
      </c>
      <c r="F6" s="5" t="s">
        <v>24</v>
      </c>
      <c r="G6" s="7" t="s">
        <v>52</v>
      </c>
      <c r="H6" s="7" t="s">
        <v>86</v>
      </c>
      <c r="I6" s="8"/>
      <c r="J6" s="9" t="s">
        <v>78</v>
      </c>
      <c r="K6" s="9" t="s">
        <v>87</v>
      </c>
      <c r="L6" s="9" t="s">
        <v>49</v>
      </c>
    </row>
    <row r="7" ht="45.0" customHeight="1">
      <c r="A7" s="10" t="s">
        <v>89</v>
      </c>
      <c r="B7" s="10">
        <v>4.0</v>
      </c>
      <c r="C7" s="10" t="s">
        <v>21</v>
      </c>
      <c r="D7" s="10" t="s">
        <v>23</v>
      </c>
      <c r="E7" s="10" t="s">
        <v>24</v>
      </c>
      <c r="F7" s="10" t="s">
        <v>93</v>
      </c>
      <c r="G7" s="11" t="s">
        <v>33</v>
      </c>
      <c r="H7" s="11" t="s">
        <v>95</v>
      </c>
      <c r="I7" s="3"/>
      <c r="J7" s="9" t="s">
        <v>89</v>
      </c>
      <c r="K7" s="9" t="s">
        <v>48</v>
      </c>
      <c r="L7" s="9" t="s">
        <v>49</v>
      </c>
    </row>
    <row r="8" ht="45.0" customHeight="1">
      <c r="A8" s="5" t="s">
        <v>97</v>
      </c>
      <c r="B8" s="5">
        <v>5.0</v>
      </c>
      <c r="C8" s="5" t="s">
        <v>21</v>
      </c>
      <c r="D8" s="5" t="s">
        <v>23</v>
      </c>
      <c r="E8" s="5" t="s">
        <v>24</v>
      </c>
      <c r="F8" s="5" t="s">
        <v>101</v>
      </c>
      <c r="G8" s="7" t="s">
        <v>33</v>
      </c>
      <c r="H8" s="7" t="s">
        <v>103</v>
      </c>
      <c r="I8" s="8"/>
      <c r="J8" s="9" t="s">
        <v>97</v>
      </c>
      <c r="K8" s="9" t="s">
        <v>48</v>
      </c>
      <c r="L8" s="9" t="s">
        <v>49</v>
      </c>
    </row>
    <row r="9" ht="45.0" customHeight="1">
      <c r="A9" s="5" t="s">
        <v>104</v>
      </c>
      <c r="B9" s="5">
        <v>6.0</v>
      </c>
      <c r="C9" s="5" t="s">
        <v>56</v>
      </c>
      <c r="D9" s="5" t="s">
        <v>57</v>
      </c>
      <c r="E9" s="5" t="s">
        <v>24</v>
      </c>
      <c r="F9" s="5" t="s">
        <v>106</v>
      </c>
      <c r="G9" s="7" t="s">
        <v>52</v>
      </c>
      <c r="H9" s="7" t="s">
        <v>107</v>
      </c>
      <c r="I9" s="8"/>
      <c r="J9" s="9" t="s">
        <v>104</v>
      </c>
      <c r="K9" s="9" t="s">
        <v>64</v>
      </c>
      <c r="L9" s="9" t="s">
        <v>49</v>
      </c>
    </row>
    <row r="10" ht="45.0" customHeight="1">
      <c r="A10" s="10" t="s">
        <v>110</v>
      </c>
      <c r="B10" s="10">
        <v>6.0</v>
      </c>
      <c r="C10" s="10" t="s">
        <v>21</v>
      </c>
      <c r="D10" s="10" t="s">
        <v>23</v>
      </c>
      <c r="E10" s="10" t="s">
        <v>24</v>
      </c>
      <c r="F10" s="10" t="s">
        <v>113</v>
      </c>
      <c r="G10" s="11" t="s">
        <v>52</v>
      </c>
      <c r="H10" s="11" t="s">
        <v>114</v>
      </c>
      <c r="I10" s="3"/>
      <c r="J10" s="9" t="s">
        <v>110</v>
      </c>
      <c r="K10" s="9" t="s">
        <v>48</v>
      </c>
      <c r="L10" s="9" t="s">
        <v>49</v>
      </c>
    </row>
    <row r="11" ht="45.0" customHeight="1">
      <c r="A11" s="5" t="s">
        <v>117</v>
      </c>
      <c r="B11" s="5">
        <v>7.0</v>
      </c>
      <c r="C11" s="5" t="s">
        <v>56</v>
      </c>
      <c r="D11" s="5" t="s">
        <v>57</v>
      </c>
      <c r="E11" s="5" t="s">
        <v>24</v>
      </c>
      <c r="F11" s="5" t="s">
        <v>120</v>
      </c>
      <c r="G11" s="7" t="s">
        <v>33</v>
      </c>
      <c r="H11" s="7" t="s">
        <v>122</v>
      </c>
      <c r="I11" s="8"/>
      <c r="J11" s="9" t="s">
        <v>117</v>
      </c>
      <c r="K11" s="9" t="s">
        <v>64</v>
      </c>
      <c r="L11" s="9" t="s">
        <v>49</v>
      </c>
    </row>
    <row r="12" ht="45.0" customHeight="1">
      <c r="A12" s="10" t="s">
        <v>123</v>
      </c>
      <c r="B12" s="10">
        <v>7.0</v>
      </c>
      <c r="C12" s="10" t="s">
        <v>21</v>
      </c>
      <c r="D12" s="10" t="s">
        <v>23</v>
      </c>
      <c r="E12" s="10" t="s">
        <v>24</v>
      </c>
      <c r="F12" s="10" t="s">
        <v>126</v>
      </c>
      <c r="G12" s="11" t="s">
        <v>33</v>
      </c>
      <c r="H12" s="11" t="s">
        <v>129</v>
      </c>
      <c r="I12" s="3"/>
      <c r="J12" s="9" t="s">
        <v>123</v>
      </c>
      <c r="K12" s="9" t="s">
        <v>48</v>
      </c>
      <c r="L12" s="9" t="s">
        <v>49</v>
      </c>
    </row>
    <row r="13" ht="45.0" customHeight="1">
      <c r="A13" s="5" t="s">
        <v>132</v>
      </c>
      <c r="B13" s="5">
        <v>8.0</v>
      </c>
      <c r="C13" s="5" t="s">
        <v>21</v>
      </c>
      <c r="D13" s="5" t="s">
        <v>23</v>
      </c>
      <c r="E13" s="5" t="s">
        <v>24</v>
      </c>
      <c r="F13" s="5" t="s">
        <v>135</v>
      </c>
      <c r="G13" s="7" t="s">
        <v>52</v>
      </c>
      <c r="H13" s="7" t="s">
        <v>138</v>
      </c>
      <c r="I13" s="8"/>
      <c r="J13" s="9" t="s">
        <v>132</v>
      </c>
      <c r="K13" s="9" t="s">
        <v>48</v>
      </c>
      <c r="L13" s="9" t="s">
        <v>49</v>
      </c>
    </row>
    <row r="14" ht="382.5" customHeight="1">
      <c r="A14" s="5" t="s">
        <v>141</v>
      </c>
      <c r="B14" s="5">
        <v>9.0</v>
      </c>
      <c r="C14" s="5" t="s">
        <v>38</v>
      </c>
      <c r="D14" s="5" t="s">
        <v>44</v>
      </c>
      <c r="E14" s="5" t="s">
        <v>144</v>
      </c>
      <c r="F14" s="5" t="s">
        <v>24</v>
      </c>
      <c r="G14" s="7" t="s">
        <v>52</v>
      </c>
      <c r="H14" s="7" t="s">
        <v>145</v>
      </c>
      <c r="I14" s="8"/>
      <c r="J14" s="9" t="s">
        <v>141</v>
      </c>
      <c r="K14" s="9" t="s">
        <v>67</v>
      </c>
      <c r="L14" s="9" t="s">
        <v>49</v>
      </c>
    </row>
    <row r="15" ht="45.0" customHeight="1">
      <c r="A15" s="10" t="s">
        <v>147</v>
      </c>
      <c r="B15" s="10">
        <v>9.0</v>
      </c>
      <c r="C15" s="10" t="s">
        <v>56</v>
      </c>
      <c r="D15" s="10" t="s">
        <v>57</v>
      </c>
      <c r="E15" s="10" t="s">
        <v>149</v>
      </c>
      <c r="F15" s="10" t="s">
        <v>24</v>
      </c>
      <c r="G15" s="11" t="s">
        <v>52</v>
      </c>
      <c r="H15" s="11" t="s">
        <v>152</v>
      </c>
      <c r="I15" s="3"/>
      <c r="J15" s="9" t="s">
        <v>147</v>
      </c>
      <c r="K15" s="9" t="s">
        <v>64</v>
      </c>
      <c r="L15" s="9" t="s">
        <v>49</v>
      </c>
    </row>
    <row r="16" ht="45.0" customHeight="1">
      <c r="A16" s="10" t="s">
        <v>153</v>
      </c>
      <c r="B16" s="10">
        <v>9.0</v>
      </c>
      <c r="C16" s="10" t="s">
        <v>21</v>
      </c>
      <c r="D16" s="10" t="s">
        <v>23</v>
      </c>
      <c r="E16" s="10" t="s">
        <v>24</v>
      </c>
      <c r="F16" s="10" t="s">
        <v>155</v>
      </c>
      <c r="G16" s="11" t="s">
        <v>33</v>
      </c>
      <c r="H16" s="11" t="s">
        <v>156</v>
      </c>
      <c r="I16" s="3"/>
      <c r="J16" s="9" t="s">
        <v>153</v>
      </c>
      <c r="K16" s="9" t="s">
        <v>48</v>
      </c>
      <c r="L16" s="9" t="s">
        <v>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6">
    <cfRule type="expression" dxfId="0" priority="1">
      <formula>$G2=""</formula>
    </cfRule>
  </conditionalFormatting>
  <conditionalFormatting sqref="H2:I16">
    <cfRule type="expression" dxfId="1" priority="2">
      <formula>OR(AND($G2&lt;&gt;"",$H2=""),AND($G2="both fair: wording allows both",$I2=""))</formula>
    </cfRule>
  </conditionalFormatting>
  <dataValidations>
    <dataValidation type="list" allowBlank="1" showErrorMessage="1" sqref="G2:G16">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1</v>
      </c>
      <c r="B1" s="2" t="s">
        <v>3</v>
      </c>
      <c r="C1" s="2" t="s">
        <v>4</v>
      </c>
      <c r="D1" s="2" t="s">
        <v>5</v>
      </c>
      <c r="E1" s="2" t="s">
        <v>6</v>
      </c>
      <c r="F1" s="2" t="s">
        <v>7</v>
      </c>
      <c r="G1" s="2" t="s">
        <v>9</v>
      </c>
      <c r="H1" s="2" t="s">
        <v>10</v>
      </c>
      <c r="I1" s="2" t="s">
        <v>11</v>
      </c>
      <c r="J1" s="2" t="s">
        <v>13</v>
      </c>
      <c r="K1" s="2" t="s">
        <v>14</v>
      </c>
      <c r="L1" s="2" t="s">
        <v>15</v>
      </c>
    </row>
    <row r="2" ht="382.5" customHeight="1">
      <c r="A2" s="5" t="s">
        <v>35</v>
      </c>
      <c r="B2" s="5">
        <v>1.0</v>
      </c>
      <c r="C2" s="5" t="s">
        <v>38</v>
      </c>
      <c r="D2" s="5" t="s">
        <v>44</v>
      </c>
      <c r="E2" s="5" t="s">
        <v>46</v>
      </c>
      <c r="F2" s="5" t="s">
        <v>24</v>
      </c>
      <c r="G2" s="7" t="s">
        <v>33</v>
      </c>
      <c r="H2" s="7" t="s">
        <v>62</v>
      </c>
      <c r="I2" s="8"/>
      <c r="J2" s="9" t="s">
        <v>35</v>
      </c>
      <c r="K2" s="9" t="s">
        <v>67</v>
      </c>
      <c r="L2" s="9" t="s">
        <v>49</v>
      </c>
    </row>
    <row r="3" ht="56.25" customHeight="1">
      <c r="A3" s="10" t="s">
        <v>69</v>
      </c>
      <c r="B3" s="10">
        <v>1.0</v>
      </c>
      <c r="C3" s="10" t="s">
        <v>73</v>
      </c>
      <c r="D3" s="10" t="s">
        <v>76</v>
      </c>
      <c r="E3" s="10" t="s">
        <v>24</v>
      </c>
      <c r="F3" s="10" t="s">
        <v>77</v>
      </c>
      <c r="G3" s="11" t="s">
        <v>81</v>
      </c>
      <c r="H3" s="11" t="s">
        <v>84</v>
      </c>
      <c r="I3" s="3"/>
      <c r="J3" s="9" t="s">
        <v>69</v>
      </c>
      <c r="K3" s="9" t="s">
        <v>88</v>
      </c>
      <c r="L3" s="9" t="s">
        <v>49</v>
      </c>
    </row>
    <row r="4" ht="45.0" customHeight="1">
      <c r="A4" s="10" t="s">
        <v>90</v>
      </c>
      <c r="B4" s="10">
        <v>1.0</v>
      </c>
      <c r="C4" s="10" t="s">
        <v>92</v>
      </c>
      <c r="D4" s="10" t="s">
        <v>94</v>
      </c>
      <c r="E4" s="10" t="s">
        <v>24</v>
      </c>
      <c r="F4" s="10" t="s">
        <v>96</v>
      </c>
      <c r="G4" s="11" t="s">
        <v>33</v>
      </c>
      <c r="H4" s="11" t="s">
        <v>100</v>
      </c>
      <c r="I4" s="3"/>
      <c r="J4" s="9" t="s">
        <v>90</v>
      </c>
      <c r="K4" s="9" t="s">
        <v>109</v>
      </c>
      <c r="L4" s="9" t="s">
        <v>49</v>
      </c>
    </row>
    <row r="5" ht="45.0" customHeight="1">
      <c r="A5" s="5" t="s">
        <v>111</v>
      </c>
      <c r="B5" s="5">
        <v>2.0</v>
      </c>
      <c r="C5" s="5" t="s">
        <v>116</v>
      </c>
      <c r="D5" s="5" t="s">
        <v>118</v>
      </c>
      <c r="E5" s="5" t="s">
        <v>119</v>
      </c>
      <c r="F5" s="5" t="s">
        <v>24</v>
      </c>
      <c r="G5" s="7" t="s">
        <v>52</v>
      </c>
      <c r="H5" s="7" t="s">
        <v>125</v>
      </c>
      <c r="I5" s="8"/>
      <c r="J5" s="9" t="s">
        <v>111</v>
      </c>
      <c r="K5" s="9" t="s">
        <v>128</v>
      </c>
      <c r="L5" s="9" t="s">
        <v>49</v>
      </c>
    </row>
    <row r="6" ht="45.0" customHeight="1">
      <c r="A6" s="5" t="s">
        <v>131</v>
      </c>
      <c r="B6" s="5">
        <v>3.0</v>
      </c>
      <c r="C6" s="5" t="s">
        <v>133</v>
      </c>
      <c r="D6" s="5" t="s">
        <v>134</v>
      </c>
      <c r="E6" s="5" t="s">
        <v>24</v>
      </c>
      <c r="F6" s="5" t="s">
        <v>137</v>
      </c>
      <c r="G6" s="7" t="s">
        <v>33</v>
      </c>
      <c r="H6" s="7" t="s">
        <v>140</v>
      </c>
      <c r="I6" s="8"/>
      <c r="J6" s="9" t="s">
        <v>131</v>
      </c>
      <c r="K6" s="9" t="s">
        <v>142</v>
      </c>
      <c r="L6" s="9" t="s">
        <v>49</v>
      </c>
    </row>
    <row r="7" ht="382.5" customHeight="1">
      <c r="A7" s="5" t="s">
        <v>143</v>
      </c>
      <c r="B7" s="5">
        <v>4.0</v>
      </c>
      <c r="C7" s="5" t="s">
        <v>38</v>
      </c>
      <c r="D7" s="5" t="s">
        <v>44</v>
      </c>
      <c r="E7" s="5" t="s">
        <v>24</v>
      </c>
      <c r="F7" s="5" t="s">
        <v>146</v>
      </c>
      <c r="G7" s="7" t="s">
        <v>52</v>
      </c>
      <c r="H7" s="7" t="s">
        <v>148</v>
      </c>
      <c r="I7" s="8"/>
      <c r="J7" s="9" t="s">
        <v>143</v>
      </c>
      <c r="K7" s="9" t="s">
        <v>67</v>
      </c>
      <c r="L7" s="9" t="s">
        <v>49</v>
      </c>
    </row>
    <row r="8" ht="382.5" customHeight="1">
      <c r="A8" s="5" t="s">
        <v>151</v>
      </c>
      <c r="B8" s="5">
        <v>5.0</v>
      </c>
      <c r="C8" s="5" t="s">
        <v>38</v>
      </c>
      <c r="D8" s="5" t="s">
        <v>44</v>
      </c>
      <c r="E8" s="5" t="s">
        <v>24</v>
      </c>
      <c r="F8" s="5" t="s">
        <v>157</v>
      </c>
      <c r="G8" s="7" t="s">
        <v>52</v>
      </c>
      <c r="H8" s="7" t="s">
        <v>158</v>
      </c>
      <c r="I8" s="8"/>
      <c r="J8" s="9" t="s">
        <v>151</v>
      </c>
      <c r="K8" s="9" t="s">
        <v>67</v>
      </c>
      <c r="L8" s="9" t="s">
        <v>49</v>
      </c>
    </row>
    <row r="9" ht="382.5" customHeight="1">
      <c r="A9" s="5" t="s">
        <v>159</v>
      </c>
      <c r="B9" s="5">
        <v>6.0</v>
      </c>
      <c r="C9" s="5" t="s">
        <v>38</v>
      </c>
      <c r="D9" s="5" t="s">
        <v>44</v>
      </c>
      <c r="E9" s="5" t="s">
        <v>24</v>
      </c>
      <c r="F9" s="5" t="s">
        <v>160</v>
      </c>
      <c r="G9" s="7" t="s">
        <v>52</v>
      </c>
      <c r="H9" s="7" t="s">
        <v>161</v>
      </c>
      <c r="I9" s="8"/>
      <c r="J9" s="9" t="s">
        <v>159</v>
      </c>
      <c r="K9" s="9" t="s">
        <v>67</v>
      </c>
      <c r="L9" s="9" t="s">
        <v>49</v>
      </c>
    </row>
    <row r="10" ht="382.5" customHeight="1">
      <c r="A10" s="5" t="s">
        <v>162</v>
      </c>
      <c r="B10" s="5">
        <v>7.0</v>
      </c>
      <c r="C10" s="5" t="s">
        <v>38</v>
      </c>
      <c r="D10" s="5" t="s">
        <v>44</v>
      </c>
      <c r="E10" s="5" t="s">
        <v>24</v>
      </c>
      <c r="F10" s="5" t="s">
        <v>163</v>
      </c>
      <c r="G10" s="7" t="s">
        <v>52</v>
      </c>
      <c r="H10" s="7" t="s">
        <v>164</v>
      </c>
      <c r="I10" s="8"/>
      <c r="J10" s="9" t="s">
        <v>162</v>
      </c>
      <c r="K10" s="9" t="s">
        <v>67</v>
      </c>
      <c r="L10" s="9" t="s">
        <v>49</v>
      </c>
    </row>
    <row r="11" ht="45.0" customHeight="1">
      <c r="A11" s="5" t="s">
        <v>165</v>
      </c>
      <c r="B11" s="5">
        <v>8.0</v>
      </c>
      <c r="C11" s="5" t="s">
        <v>133</v>
      </c>
      <c r="D11" s="5" t="s">
        <v>134</v>
      </c>
      <c r="E11" s="5" t="s">
        <v>24</v>
      </c>
      <c r="F11" s="5" t="s">
        <v>166</v>
      </c>
      <c r="G11" s="7" t="s">
        <v>33</v>
      </c>
      <c r="H11" s="7" t="s">
        <v>167</v>
      </c>
      <c r="I11" s="8"/>
      <c r="J11" s="9" t="s">
        <v>165</v>
      </c>
      <c r="K11" s="9" t="s">
        <v>142</v>
      </c>
      <c r="L11" s="9" t="s">
        <v>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1">
    <cfRule type="expression" dxfId="0" priority="1">
      <formula>$G2=""</formula>
    </cfRule>
  </conditionalFormatting>
  <conditionalFormatting sqref="H2:I11">
    <cfRule type="expression" dxfId="1" priority="2">
      <formula>OR(AND($G2&lt;&gt;"",$H2=""),AND($G2="both fair: wording allows both",$I2=""))</formula>
    </cfRule>
  </conditionalFormatting>
  <dataValidations>
    <dataValidation type="list" allowBlank="1" showErrorMessage="1" sqref="G2:G11">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1</v>
      </c>
      <c r="B1" s="2" t="s">
        <v>3</v>
      </c>
      <c r="C1" s="2" t="s">
        <v>4</v>
      </c>
      <c r="D1" s="2" t="s">
        <v>5</v>
      </c>
      <c r="E1" s="2" t="s">
        <v>6</v>
      </c>
      <c r="F1" s="2" t="s">
        <v>7</v>
      </c>
      <c r="G1" s="2" t="s">
        <v>9</v>
      </c>
      <c r="H1" s="2" t="s">
        <v>10</v>
      </c>
      <c r="I1" s="2" t="s">
        <v>11</v>
      </c>
      <c r="J1" s="2" t="s">
        <v>13</v>
      </c>
      <c r="K1" s="2" t="s">
        <v>14</v>
      </c>
      <c r="L1" s="2" t="s">
        <v>15</v>
      </c>
    </row>
    <row r="2" ht="45.0" customHeight="1">
      <c r="A2" s="5" t="s">
        <v>31</v>
      </c>
      <c r="B2" s="5">
        <v>1.0</v>
      </c>
      <c r="C2" s="5" t="s">
        <v>34</v>
      </c>
      <c r="D2" s="5" t="s">
        <v>36</v>
      </c>
      <c r="E2" s="5" t="s">
        <v>24</v>
      </c>
      <c r="F2" s="5" t="s">
        <v>37</v>
      </c>
      <c r="G2" s="7" t="s">
        <v>33</v>
      </c>
      <c r="H2" s="7" t="s">
        <v>54</v>
      </c>
      <c r="I2" s="8"/>
      <c r="J2" s="9" t="s">
        <v>31</v>
      </c>
      <c r="K2" s="9" t="s">
        <v>58</v>
      </c>
      <c r="L2" s="9" t="s">
        <v>49</v>
      </c>
    </row>
    <row r="3" ht="45.0" customHeight="1">
      <c r="A3" s="5" t="s">
        <v>60</v>
      </c>
      <c r="B3" s="5">
        <v>2.0</v>
      </c>
      <c r="C3" s="5" t="s">
        <v>63</v>
      </c>
      <c r="D3" s="5" t="s">
        <v>65</v>
      </c>
      <c r="E3" s="5" t="s">
        <v>24</v>
      </c>
      <c r="F3" s="5" t="s">
        <v>68</v>
      </c>
      <c r="G3" s="7" t="s">
        <v>52</v>
      </c>
      <c r="H3" s="7" t="s">
        <v>71</v>
      </c>
      <c r="I3" s="8"/>
      <c r="J3" s="9" t="s">
        <v>60</v>
      </c>
      <c r="K3" s="9" t="s">
        <v>72</v>
      </c>
      <c r="L3" s="9" t="s">
        <v>49</v>
      </c>
    </row>
    <row r="4" ht="45.0" customHeight="1">
      <c r="A4" s="5" t="s">
        <v>74</v>
      </c>
      <c r="B4" s="5">
        <v>3.0</v>
      </c>
      <c r="C4" s="5" t="s">
        <v>63</v>
      </c>
      <c r="D4" s="5" t="s">
        <v>65</v>
      </c>
      <c r="E4" s="5" t="s">
        <v>24</v>
      </c>
      <c r="F4" s="5" t="s">
        <v>80</v>
      </c>
      <c r="G4" s="7" t="s">
        <v>33</v>
      </c>
      <c r="H4" s="7" t="s">
        <v>85</v>
      </c>
      <c r="I4" s="8"/>
      <c r="J4" s="9" t="s">
        <v>74</v>
      </c>
      <c r="K4" s="9" t="s">
        <v>72</v>
      </c>
      <c r="L4" s="9" t="s">
        <v>49</v>
      </c>
    </row>
    <row r="5" ht="45.0" customHeight="1">
      <c r="A5" s="10" t="s">
        <v>91</v>
      </c>
      <c r="B5" s="10">
        <v>3.0</v>
      </c>
      <c r="C5" s="10" t="s">
        <v>34</v>
      </c>
      <c r="D5" s="10" t="s">
        <v>36</v>
      </c>
      <c r="E5" s="10" t="s">
        <v>24</v>
      </c>
      <c r="F5" s="10" t="s">
        <v>98</v>
      </c>
      <c r="G5" s="11" t="s">
        <v>33</v>
      </c>
      <c r="H5" s="11" t="s">
        <v>102</v>
      </c>
      <c r="I5" s="3"/>
      <c r="J5" s="9" t="s">
        <v>91</v>
      </c>
      <c r="K5" s="9" t="s">
        <v>58</v>
      </c>
      <c r="L5" s="9" t="s">
        <v>49</v>
      </c>
    </row>
    <row r="6" ht="45.0" customHeight="1">
      <c r="A6" s="5" t="s">
        <v>105</v>
      </c>
      <c r="B6" s="5">
        <v>4.0</v>
      </c>
      <c r="C6" s="5" t="s">
        <v>63</v>
      </c>
      <c r="D6" s="5" t="s">
        <v>65</v>
      </c>
      <c r="E6" s="5" t="s">
        <v>24</v>
      </c>
      <c r="F6" s="5" t="s">
        <v>108</v>
      </c>
      <c r="G6" s="7" t="s">
        <v>52</v>
      </c>
      <c r="H6" s="7" t="s">
        <v>112</v>
      </c>
      <c r="I6" s="8"/>
      <c r="J6" s="9" t="s">
        <v>105</v>
      </c>
      <c r="K6" s="9" t="s">
        <v>72</v>
      </c>
      <c r="L6" s="9" t="s">
        <v>49</v>
      </c>
    </row>
    <row r="7" ht="45.0" customHeight="1">
      <c r="A7" s="5" t="s">
        <v>115</v>
      </c>
      <c r="B7" s="5">
        <v>5.0</v>
      </c>
      <c r="C7" s="5" t="s">
        <v>63</v>
      </c>
      <c r="D7" s="5" t="s">
        <v>65</v>
      </c>
      <c r="E7" s="5" t="s">
        <v>24</v>
      </c>
      <c r="F7" s="5" t="s">
        <v>121</v>
      </c>
      <c r="G7" s="7" t="s">
        <v>52</v>
      </c>
      <c r="H7" s="7" t="s">
        <v>124</v>
      </c>
      <c r="I7" s="8"/>
      <c r="J7" s="9" t="s">
        <v>115</v>
      </c>
      <c r="K7" s="9" t="s">
        <v>72</v>
      </c>
      <c r="L7" s="9" t="s">
        <v>49</v>
      </c>
    </row>
    <row r="8" ht="45.0" customHeight="1">
      <c r="A8" s="10" t="s">
        <v>130</v>
      </c>
      <c r="B8" s="10">
        <v>5.0</v>
      </c>
      <c r="C8" s="10" t="s">
        <v>34</v>
      </c>
      <c r="D8" s="10" t="s">
        <v>36</v>
      </c>
      <c r="E8" s="10" t="s">
        <v>24</v>
      </c>
      <c r="F8" s="10" t="s">
        <v>136</v>
      </c>
      <c r="G8" s="11" t="s">
        <v>33</v>
      </c>
      <c r="H8" s="11" t="s">
        <v>139</v>
      </c>
      <c r="I8" s="3"/>
      <c r="J8" s="9" t="s">
        <v>130</v>
      </c>
      <c r="K8" s="9" t="s">
        <v>58</v>
      </c>
      <c r="L8" s="9" t="s">
        <v>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8">
    <cfRule type="expression" dxfId="0" priority="1">
      <formula>$G2=""</formula>
    </cfRule>
  </conditionalFormatting>
  <conditionalFormatting sqref="H2:I8">
    <cfRule type="expression" dxfId="1" priority="2">
      <formula>OR(AND($G2&lt;&gt;"",$H2=""),AND($G2="both fair: wording allows both",$I2=""))</formula>
    </cfRule>
  </conditionalFormatting>
  <dataValidations>
    <dataValidation type="list" allowBlank="1" showErrorMessage="1" sqref="G2:G8">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