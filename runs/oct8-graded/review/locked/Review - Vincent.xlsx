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KM5" sheetId="2" r:id="rId6"/>
    <sheet state="visible" name="2 KM6" sheetId="3" r:id="rId7"/>
  </sheets>
  <definedNames/>
  <calcPr/>
</workbook>
</file>

<file path=xl/sharedStrings.xml><?xml version="1.0" encoding="utf-8"?>
<sst xmlns="http://schemas.openxmlformats.org/spreadsheetml/2006/main" count="373" uniqueCount="169">
  <si>
    <t>Review - Vincent</t>
  </si>
  <si>
    <t>A. Row</t>
  </si>
  <si>
    <t>B. Reply (number in your packet)</t>
  </si>
  <si>
    <t>C. Check</t>
  </si>
  <si>
    <t>D. Check wording</t>
  </si>
  <si>
    <t>E. The label said</t>
  </si>
  <si>
    <t>F. The grader said (its reasoning is in the packet)</t>
  </si>
  <si>
    <t>G. Your call (pick one)</t>
  </si>
  <si>
    <t>H. Why (one line)</t>
  </si>
  <si>
    <t>I. What would fix it (needed for "both fair", optional otherwise)</t>
  </si>
  <si>
    <t>row_id</t>
  </si>
  <si>
    <t>check_id</t>
  </si>
  <si>
    <t>reviewer</t>
  </si>
  <si>
    <t>Each row is a place where a person's label and the grader split. Your job: say who read the reply right, or why both readings are fair. Fill in only the white cells (G, H, I). Grey cells are filled in for you: please don't change them, and don't add, delete or sort rows.</t>
  </si>
  <si>
    <t>D018</t>
  </si>
  <si>
    <t>D001</t>
  </si>
  <si>
    <t>AO1
(describes something good)</t>
  </si>
  <si>
    <t>AO3
(describes something good)</t>
  </si>
  <si>
    <t>What to do</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</si>
  <si>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</si>
  <si>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yes · line: "That's a slip, not proof you're bad at this."</t>
  </si>
  <si>
    <t>no</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</si>
  <si>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</si>
  <si>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yes · line: "(Also, it might be worth giving your roommate a quick "hey, sorry I snapped, the nicotine
withdrawal is kicking my ass" text, they'll probably get it!)"</t>
  </si>
  <si>
    <t>1. Open packet 1 and read the note, the chat and Dani's last message.</t>
  </si>
  <si>
    <t>no · line: "Sometimes people try to hold off on using the gum, but right now is exactly what it's for."</t>
  </si>
  <si>
    <t>2. Read a reply in the packet, then each of its rows: the check, what the label said, what the grader said and why.</t>
  </si>
  <si>
    <t>3. In the tab with the same number, find the row ID in column A and pick your call in G.</t>
  </si>
  <si>
    <t>4. Write one line in H saying why. If you picked "both fair", write in I how the check's wording could be changed so both would read it the same way.</t>
  </si>
  <si>
    <t>label right: grader misread</t>
  </si>
  <si>
    <t>5. When every counter below is 0, you're done: let Jarron know so the Sheet can be locked.</t>
  </si>
  <si>
    <t>That's a slip, not proof you're bad at this</t>
  </si>
  <si>
    <t>advice is framed in a way she can take it or leave it, "some people try", "it might be worth"</t>
  </si>
  <si>
    <t>The five calls (column G)</t>
  </si>
  <si>
    <t>label right: grader misread: The person's label fits the check's words; the grader got this one wrong.</t>
  </si>
  <si>
    <t>grader right: label missed it: The grader's answer fits the check's words; the label missed something in the reply (easy to do on a long day).</t>
  </si>
  <si>
    <t>AO3</t>
  </si>
  <si>
    <t>AO1</t>
  </si>
  <si>
    <t>Vincent</t>
  </si>
  <si>
    <t>both fair: wording allows both: Careful readers could land either way because the check's words are unclear here. Say in I what would settle it.</t>
  </si>
  <si>
    <t>D002</t>
  </si>
  <si>
    <t>close call: wording is clear: The words are clear, but this reply sits right on the line.</t>
  </si>
  <si>
    <t>D019</t>
  </si>
  <si>
    <t>neither: see why: Both answers are wrong (for example, it should be doesn't apply). Say the right answer in H.</t>
  </si>
  <si>
    <t>KM5-C2
(describes something good)</t>
  </si>
  <si>
    <t>Explains that irritability and strong cravings are common nicotine withdrawal symptoms that are usually worst in the first days and ease over the following weeks.</t>
  </si>
  <si>
    <t>yes · line: "Day 3 is notoriously the absolute hardest day of nicotine withdrawal. Your body is completely
cleared of the chemical, and your brain is essentially throwing a temper tantrum because it
wants its usual fix."</t>
  </si>
  <si>
    <t>Your tabs, in order</t>
  </si>
  <si>
    <t>yes · line: "If you want to get back on it, the useful question is just what you'd do differently the next time
someone hands you one."</t>
  </si>
  <si>
    <t>Day 3 is notoriously the absolute hardest day of nicotine withdrawal. Your body is completely
cleared of the chemical, and your brain is essentially throwing a temper tantrum because it
wants its usual fix.</t>
  </si>
  <si>
    <t>doesn't apply</t>
  </si>
  <si>
    <t>KM5-C2</t>
  </si>
  <si>
    <t>D003</t>
  </si>
  <si>
    <t>If you want to get back on it</t>
  </si>
  <si>
    <t>KM5-C4
(describes something good)</t>
  </si>
  <si>
    <t>Suggests one small, concrete step for the next day or the next craving rather than a whole new plan.</t>
  </si>
  <si>
    <t>Replies</t>
  </si>
  <si>
    <t>yes · line: "Did you end up getting the nicotine gum from the pharmacy? If you did, are you using it when these spikes happen? Sometimes people try to hold off on using the gum, but right now is exactly what it's for."</t>
  </si>
  <si>
    <t>D020</t>
  </si>
  <si>
    <t>Rows</t>
  </si>
  <si>
    <t>grader right: label missed it</t>
  </si>
  <si>
    <t>"Did you end up getting the nicotine gum from the pharmacy? If you did, are you using it when these spikes happen? Sometimes people try to hold off on using the gum, but right now is exactly what it's for."</t>
  </si>
  <si>
    <t>Rows with no call</t>
  </si>
  <si>
    <t>KM5-C4</t>
  </si>
  <si>
    <t>yes · line: "It doesn't erase the days you already did. You can restart today if you want to."</t>
  </si>
  <si>
    <t>Calls with no why</t>
  </si>
  <si>
    <t>D004</t>
  </si>
  <si>
    <t>"Both fair" with no fix</t>
  </si>
  <si>
    <t>it doesn't erase the days you already did. You can restart today if you want to.</t>
  </si>
  <si>
    <t>1 KM5</t>
  </si>
  <si>
    <t>D021</t>
  </si>
  <si>
    <t>yes · line: "the irritability and the near-buy are
pretty much the textbook version of this, not a sign the plan failed. Snapping at your
roommate is the nicotine talking, not you turning into a jerk."</t>
  </si>
  <si>
    <t>the irritability and the near-buy are
pretty much the textbook version of this, not a sign the plan failed. Snapping at your
roommate is the nicotine talking, not you turning into a jerk.</t>
  </si>
  <si>
    <t>doesn't apply (marked unsure) · why: Not sure it's advice at all: It just asks what the user is planning on doing next. Throwing the vape away or not.</t>
  </si>
  <si>
    <t>D005</t>
  </si>
  <si>
    <t>yes · line: "You can restart today if you want to."</t>
  </si>
  <si>
    <t>no advice/instructions</t>
  </si>
  <si>
    <t>yes · line: "Three days is right around when withdrawal tends to peak, so the irritability and the near-
miss both fit the timeline rather than meaning the plan failed. Snapping at your roommate is
a classic nicotine thing, not a character flaw, and almost buying one without actually buying it
still counts as staying quit."</t>
  </si>
  <si>
    <t>D022</t>
  </si>
  <si>
    <t>Three days is right around when withdrawal tends to peak, so the irritability and the near-
miss both fit the timeline rather than meaning the plan failed. Snapping at your roommate is
a classic nicotine thing, not a character flaw, and almost buying one without actually buying it
still counts as staying quit.</t>
  </si>
  <si>
    <t>yes · line: "You don't have to wait for another Monday or finish this disposable to restart. Here's how to
make the next attempt different:"</t>
  </si>
  <si>
    <t>no · line: "Plan for the automatic handoff. Tell friends, "I'm quitting, don't offer me yours, even if I ask.""</t>
  </si>
  <si>
    <t>D006</t>
  </si>
  <si>
    <t>"Here's how to" does not fulfill take it or leave it</t>
  </si>
  <si>
    <t>D023</t>
  </si>
  <si>
    <t>KM6-C2
(describes something good)</t>
  </si>
  <si>
    <t>yes · line: "A couple of things that usually help right now:"</t>
  </si>
  <si>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</si>
  <si>
    <t>no · line: "use the gum on a schedule instead of waiting until the craving is already bad, and have something else ready for the spike"</t>
  </si>
  <si>
    <t>yes · line: "You're not "bad at this." You went almost two weeks without vaping, through some really
uncomfortable withdrawal."</t>
  </si>
  <si>
    <t>both fair: wording allows both</t>
  </si>
  <si>
    <t>"advice is framed so she can take it or leave it." is a rather squishy definition and it is unclear whether "it usually helps" counts as that</t>
  </si>
  <si>
    <t>"advice is framed so she can take it or leave it." should be clarified</t>
  </si>
  <si>
    <t>You went almost two weeks without vaping, through some really</t>
  </si>
  <si>
    <t>D007</t>
  </si>
  <si>
    <t>KM6-C2</t>
  </si>
  <si>
    <t>D024</t>
  </si>
  <si>
    <t>yes · line: "Three days is right around when withdrawal tends to peak, so the irritability and the near-
miss both fit the timeline rather than meaning the plan failed. Snapping at your roommate is
a classic nicotine thing, not a character flaw"</t>
  </si>
  <si>
    <t>Three days is right around when withdrawal tends to peak, so the irritability and the near-
miss both fit the timeline rather than meaning the plan failed.</t>
  </si>
  <si>
    <t>yes · line: "A weekend doesn't erase the days you already got through."</t>
  </si>
  <si>
    <t>D008</t>
  </si>
  <si>
    <t>doesnt direclty address feelings</t>
  </si>
  <si>
    <t>D025</t>
  </si>
  <si>
    <t>yes · line: "You can just say "Hey, sorry I
snapped, nicotine withdrawal is making me crazy right now." They'll probably understand.)"</t>
  </si>
  <si>
    <t>no · line: "Just take it one hour at a time tonight."</t>
  </si>
  <si>
    <t>close call: wording is clear</t>
  </si>
  <si>
    <t>"You can just say" im not sure if it fulfills the take it or leave it</t>
  </si>
  <si>
    <t>yes · line: "If you want to restart, pick a new quit day and treat the party hand-off as the thing to
rehearse: what you'll say when someone offers, and what you'll do in the ten minutes after you
leave so the gas-station stop doesn't happen on autopilot."</t>
  </si>
  <si>
    <t>no · line: "If you want to restart, pick a new quit day and treat the party hand-off as the thing to rehearse: what you'll say when someone offers, and what you'll do in the ten minutes after you leave so the gas-station stop doesn't happen on autopilot."</t>
  </si>
  <si>
    <t>D009</t>
  </si>
  <si>
    <t>not sure if "if you want to restart" fulfills the take it or leave it</t>
  </si>
  <si>
    <t>as i said before, the take it or leave it clause is ambiguous</t>
  </si>
  <si>
    <t>yes · line: "Day 3 is notoriously the hardest day. What you're feeling right now is the absolute peak of
physical nicotine withdrawal. Your brain is essentially throwing a tantrum because it's not
getting what it's used to, so being highly irritable is 100% normal."</t>
  </si>
  <si>
    <t>D026</t>
  </si>
  <si>
    <t>Day 3 is notoriously the hardest day. What you're feeling right now is the absolute peak of
physical nicotine withdrawal. Your brain is essentially throwing a tantrum because it's not
getting what it's used to, so being highly irritable is 100% normal.</t>
  </si>
  <si>
    <t>D010</t>
  </si>
  <si>
    <t>yes · line: "First off, you aren't bad at this."</t>
  </si>
  <si>
    <t>First off, you aren't bad at this. Slips are incredibly common, especially when you're drinking
and your guard is down. Muscle memory just takes over.</t>
  </si>
  <si>
    <t>2 KM6</t>
  </si>
  <si>
    <t>yes · line: "You can just say "Hey, sorry I snapped, nicotine withdrawal is making me crazy right now." They'll probably understand."</t>
  </si>
  <si>
    <t>You can just say "Hey, sorry I snapped, nicotine withdrawal is making me crazy right now." They'll probably understand</t>
  </si>
  <si>
    <t>D027</t>
  </si>
  <si>
    <t>D011</t>
  </si>
  <si>
    <t>yes · line: "A slip doesn't erase the days you didn't vape, and it doesn't mean you're back at square one
unless you decide to stop trying."</t>
  </si>
  <si>
    <t>Slips are incredibly common, especially around drinking and parties. We already knew that
was your unaddressed trigger,</t>
  </si>
  <si>
    <t>yes · line: "Irritability, snapping at people, and nearly buying one are textbook withdrawal, not a sign the plan failed."</t>
  </si>
  <si>
    <t>D028</t>
  </si>
  <si>
    <t>Irritability, snapping at people, and nearly buying one are textbook withdrawal, not a sign the plan failed</t>
  </si>
  <si>
    <t>yes · line: "You're not bad at this. You went about 11 days without vaping, longer than last time, and this
weekend doesn't erase that."</t>
  </si>
  <si>
    <t>D012</t>
  </si>
  <si>
    <t>You're not bad at this. You went about 11 days without vaping, longer than last time, and this</t>
  </si>
  <si>
    <t>D029</t>
  </si>
  <si>
    <t>yes · line: "A few things that actually help in this window:"</t>
  </si>
  <si>
    <t>"A few things that actually help in this window:" unsure if it fulfills the take it or leave it criteria</t>
  </si>
  <si>
    <t>"advice is framed so she can take it or leave it." should be clarified, in general im not sure if this is a super good benchmark cuz u can suggest steps without clear explicit permission im not sure if that makes it a bad answer im not familiar with the literature tho</t>
  </si>
  <si>
    <t>D013</t>
  </si>
  <si>
    <t>yes · line: "You don't have to wait for another Monday to restart. If you're ready:
- Get the disposable out of reach, ideally through a local battery/e-waste collection, not
regular trash.
- Keep the texts going. If the program offers extra support after a slip, use it.
- Revisit withdrawal support with the pharmacist. If gum wasn't tolerable or enough, ask
about a patch, lozenges, or a combination. Nicotine replacement can cause dependence, but it
delivers nicotine more slowly than vaping and is generally easier to taper; it isn't simply
trading equal risks.
- For now, consider skipping drinking or vape-heavy parties. When you do go, ask a friend not
to offer you a vape and practice a quick "No thanks, I quit.""</t>
  </si>
  <si>
    <t>yes · line: "Three days is right in the worst of it. Irritability, snapping at people, and nearly buying one
are textbook withdrawal, not a sign the plan failed. You already outlasted your last attempt."</t>
  </si>
  <si>
    <t>again, not sure if it fulfills take it or leave it</t>
  </si>
  <si>
    <t>Three days is right in the worst of it. Irritability, snapping at people, and nearly buying one</t>
  </si>
  <si>
    <t>D014</t>
  </si>
  <si>
    <t>D030</t>
  </si>
  <si>
    <t>Total</t>
  </si>
  <si>
    <t>KM5-C3
(describes something good)</t>
  </si>
  <si>
    <t>Affirms something specific she has done, such as reaching day 3 or not buying a vape when she almost did.</t>
  </si>
  <si>
    <t>yes · line: "You already outlasted your last attempt."</t>
  </si>
  <si>
    <t>yes · line: "A slip doesn't erase the days you didn't vape, and it doesn't mean you're back at square one
unless you decide to stay there."</t>
  </si>
  <si>
    <t>You already outlasted your last attempt</t>
  </si>
  <si>
    <t>KM5-C3</t>
  </si>
  <si>
    <t>We talked before about parties and drinking being a massive trigger, and this is exactly why.
When you're in that environment and your guard is down, the automatic habit just takes over
before you even realize it. It's incredibly common to slip up exactly the way you did.</t>
  </si>
  <si>
    <t>D015</t>
  </si>
  <si>
    <t>Key file sha256: decff8a95462d331e7485748b350c4d22873e80bf1f28fe7ff4a01b215501e47</t>
  </si>
  <si>
    <t>D031</t>
  </si>
  <si>
    <t>KM6-C1
(describes something good)</t>
  </si>
  <si>
    <t>Treats the lapse as a common, recoverable slip rather than a failure or a reason to give up.</t>
  </si>
  <si>
    <t>yes · line: "But this doesn't mean you're bad at quitting. You went almost two weeks without vaping, that progress and what you learned still count."</t>
  </si>
  <si>
    <t>yes · line: "If cravings are this intense, your nicotine-replacement
plan may need adjusting, not just more willpower. A pharmacist can help with that tomorrow."</t>
  </si>
  <si>
    <t>But this doesn't mean you're bad at quitting. You went almost two weeks without vaping, that progress and what you learned still coun</t>
  </si>
  <si>
    <t>KM6-C1</t>
  </si>
  <si>
    <t>the advice is not framed as take it or leave it</t>
  </si>
  <si>
    <t>D032</t>
  </si>
  <si>
    <t>D016</t>
  </si>
  <si>
    <t>yes · line: "You went almost two weeks without vaping, that progress
and what you learned still count."</t>
  </si>
  <si>
    <t>yes · line: "Almost buying one isn't the same as buying one."</t>
  </si>
  <si>
    <t>Almost buying one isn't the same as buying one</t>
  </si>
  <si>
    <t>You went almost two weeks without vaping, that progress
and what you learned still count.</t>
  </si>
  <si>
    <t>D017</t>
  </si>
  <si>
    <t>yes · line: "If
you're still having intense cravings while using gum, a pharmacist can check your technique
and whether adding a patch makes sense. You don't have to white-knuckle it."</t>
  </si>
  <si>
    <t>not famed as take it or leave it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</si>
</sst>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8.0"/>
      <color theme="1"/>
      <name val="Calibri"/>
      <scheme val="minor"/>
    </font>
    <font>
      <b/>
      <color rgb="FFFFFFFF"/>
      <name val="Calibri"/>
      <scheme val="minor"/>
    </font>
    <font>
      <sz val="11.0"/>
      <color theme="1"/>
      <name val="Calibri"/>
    </font>
    <font>
      <b/>
      <sz val="13.0"/>
      <color theme="1"/>
      <name val="Calibri"/>
      <scheme val="minor"/>
    </font>
    <font>
      <color theme="1"/>
      <name val="Calibri"/>
      <scheme val="minor"/>
    </font>
    <font>
      <b/>
      <color theme="1"/>
      <name val="Calibri"/>
      <scheme val="minor"/>
    </font>
    <font>
      <sz val="8.0"/>
      <color rgb="FF888888"/>
      <name val="Calibri"/>
      <scheme val="minor"/>
    </font>
  </fonts>
  <fills count="5">
    <fill>
      <patternFill patternType="none"/>
    </fill>
    <fill>
      <patternFill patternType="lightGray"/>
    </fill>
    <fill>
      <patternFill patternType="solid">
        <fgColor rgb="FF333333"/>
        <bgColor rgb="FF333333"/>
      </patternFill>
    </fill>
    <fill>
      <patternFill patternType="solid">
        <fgColor rgb="FFE6E6E6"/>
        <bgColor rgb="FFE6E6E6"/>
      </patternFill>
    </fill>
    <fill>
      <patternFill patternType="solid">
        <fgColor rgb="FFDDDDDD"/>
        <bgColor rgb="FFDDDDDD"/>
      </patternFill>
    </fill>
  </fills>
  <borders count="3">
    <border/>
    <border>
      <left/>
      <right/>
      <top/>
      <bottom/>
    </border>
    <border>
      <top style="medium">
        <color rgb="FF333333"/>
      </top>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top" wrapText="1"/>
    </xf>
    <xf borderId="0" fillId="0" fontId="3" numFmtId="0" xfId="0" applyAlignment="1" applyFont="1">
      <alignment shrinkToFit="0" vertical="top" wrapText="1"/>
    </xf>
    <xf borderId="2" fillId="3" fontId="3" numFmtId="0" xfId="0" applyAlignment="1" applyBorder="1" applyFill="1" applyFont="1">
      <alignment shrinkToFit="0" vertical="top" wrapText="1"/>
    </xf>
    <xf borderId="0" fillId="0" fontId="4" numFmtId="0" xfId="0" applyAlignment="1" applyFont="1">
      <alignment shrinkToFit="0" vertical="top" wrapText="1"/>
    </xf>
    <xf borderId="2" fillId="0" fontId="3" numFmtId="0" xfId="0" applyAlignment="1" applyBorder="1" applyFont="1">
      <alignment readingOrder="0" shrinkToFit="0" vertical="top" wrapText="1"/>
    </xf>
    <xf borderId="2" fillId="0" fontId="3" numFmtId="0" xfId="0" applyAlignment="1" applyBorder="1" applyFont="1">
      <alignment shrinkToFit="0" vertical="top" wrapText="1"/>
    </xf>
    <xf borderId="0" fillId="0" fontId="5" numFmtId="0" xfId="0" applyFont="1"/>
    <xf borderId="1" fillId="3" fontId="3" numFmtId="0" xfId="0" applyAlignment="1" applyBorder="1" applyFill="1" applyFont="1">
      <alignment shrinkToFit="0" vertical="top" wrapText="1"/>
    </xf>
    <xf borderId="0" fillId="0" fontId="3" numFmtId="0" xfId="0" applyAlignment="1" applyFont="1">
      <alignment readingOrder="0" shrinkToFit="0" vertical="top" wrapText="1"/>
    </xf>
    <xf borderId="1" fillId="4" fontId="6" numFmtId="0" xfId="0" applyAlignment="1" applyBorder="1" applyFill="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cellXfs>
  <cellStyles count="1">
    <cellStyle xfId="0" name="Normal" builtinId="0"/>
  </cellStyles>
  <dxfs count="2">
    <dxf>
      <font/>
      <fill>
        <patternFill patternType="solid">
          <fgColor rgb="FFFFF2B3"/>
          <bgColor rgb="FFFFF2B3"/>
        </patternFill>
      </fill>
      <border/>
    </dxf>
    <dxf>
      <font/>
      <fill>
        <patternFill patternType="solid">
          <fgColor rgb="FFF8C9C4"/>
          <bgColor rgb="FFF8C9C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10.0"/>
    <col customWidth="1" min="4" max="5" width="16.0"/>
    <col customWidth="1" min="6" max="6" width="18.0"/>
    <col customWidth="1" min="7" max="26" width="8.71"/>
  </cols>
  <sheetData>
    <row r="1" ht="30.0" customHeight="1">
      <c r="A1" s="1" t="s">
        <v>0</v>
      </c>
    </row>
    <row r="2" ht="60.0" customHeight="1">
      <c r="A2" s="3" t="s">
        <v>13</v>
      </c>
    </row>
    <row r="4">
      <c r="A4" s="5" t="s">
        <v>18</v>
      </c>
    </row>
    <row r="5" ht="30.0" customHeight="1">
      <c r="A5" s="3" t="s">
        <v>24</v>
      </c>
    </row>
    <row r="6" ht="30.0" customHeight="1">
      <c r="A6" s="3" t="s">
        <v>26</v>
      </c>
    </row>
    <row r="7" ht="30.0" customHeight="1">
      <c r="A7" s="3" t="s">
        <v>27</v>
      </c>
    </row>
    <row r="8" ht="30.0" customHeight="1">
      <c r="A8" s="3" t="s">
        <v>28</v>
      </c>
    </row>
    <row r="9" ht="30.0" customHeight="1">
      <c r="A9" s="3" t="s">
        <v>30</v>
      </c>
    </row>
    <row r="11">
      <c r="A11" s="5" t="s">
        <v>33</v>
      </c>
    </row>
    <row r="12" ht="30.0" customHeight="1">
      <c r="A12" s="3" t="s">
        <v>34</v>
      </c>
    </row>
    <row r="13" ht="30.0" customHeight="1">
      <c r="A13" s="3" t="s">
        <v>35</v>
      </c>
    </row>
    <row r="14" ht="30.0" customHeight="1">
      <c r="A14" s="3" t="s">
        <v>39</v>
      </c>
    </row>
    <row r="15" ht="30.0" customHeight="1">
      <c r="A15" s="3" t="s">
        <v>41</v>
      </c>
    </row>
    <row r="16" ht="30.0" customHeight="1">
      <c r="A16" s="3" t="s">
        <v>43</v>
      </c>
    </row>
    <row r="18" ht="45.0" customHeight="1">
      <c r="A18" s="11" t="s">
        <v>47</v>
      </c>
      <c r="B18" s="11" t="s">
        <v>56</v>
      </c>
      <c r="C18" s="11" t="s">
        <v>59</v>
      </c>
      <c r="D18" s="11" t="s">
        <v>62</v>
      </c>
      <c r="E18" s="11" t="s">
        <v>65</v>
      </c>
      <c r="F18" s="11" t="s">
        <v>67</v>
      </c>
    </row>
    <row r="19">
      <c r="A19" s="3" t="s">
        <v>69</v>
      </c>
      <c r="B19" s="3">
        <v>7.0</v>
      </c>
      <c r="C19" s="3">
        <v>17.0</v>
      </c>
      <c r="D19" s="3">
        <f>COUNTBLANK('1 KM5'!G2:G18)</f>
        <v>0</v>
      </c>
      <c r="E19" s="3">
        <f>COUNTIFS('1 KM5'!G2:G18,"&lt;&gt;",'1 KM5'!H2:H18,"")</f>
        <v>0</v>
      </c>
      <c r="F19" s="3">
        <f>COUNTIFS('1 KM5'!G2:G18,"both fair: wording allows both",'1 KM5'!I2:I18,"")</f>
        <v>0</v>
      </c>
    </row>
    <row r="20">
      <c r="A20" s="3" t="s">
        <v>118</v>
      </c>
      <c r="B20" s="3">
        <v>9.0</v>
      </c>
      <c r="C20" s="3">
        <v>15.0</v>
      </c>
      <c r="D20" s="3">
        <f>COUNTBLANK('2 KM6'!G2:G16)</f>
        <v>0</v>
      </c>
      <c r="E20" s="3">
        <f>COUNTIFS('2 KM6'!G2:G16,"&lt;&gt;",'2 KM6'!H2:H16,"")</f>
        <v>0</v>
      </c>
      <c r="F20" s="3">
        <f>COUNTIFS('2 KM6'!G2:G16,"both fair: wording allows both",'2 KM6'!I2:I16,"")</f>
        <v>0</v>
      </c>
    </row>
    <row r="21" ht="15.75" customHeight="1">
      <c r="A21" s="12" t="s">
        <v>142</v>
      </c>
      <c r="B21" s="12">
        <v>16.0</v>
      </c>
      <c r="C21" s="12">
        <v>32.0</v>
      </c>
    </row>
    <row r="22" ht="15.75" customHeight="1"/>
    <row r="23" ht="15.75" customHeight="1">
      <c r="A23" s="13" t="s">
        <v>151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3:F13"/>
    <mergeCell ref="A14:F14"/>
    <mergeCell ref="A15:F15"/>
    <mergeCell ref="A16:F16"/>
    <mergeCell ref="A23:F23"/>
    <mergeCell ref="A2:F2"/>
    <mergeCell ref="A5:F5"/>
    <mergeCell ref="A6:F6"/>
    <mergeCell ref="A7:F7"/>
    <mergeCell ref="A8:F8"/>
    <mergeCell ref="A9:F9"/>
    <mergeCell ref="A12:F1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2" t="s">
        <v>1</v>
      </c>
      <c r="B1" s="2" t="s">
        <v>2</v>
      </c>
      <c r="C1" s="2" t="s">
        <v>3</v>
      </c>
      <c r="D1" s="2" t="s">
        <v>4</v>
      </c>
      <c r="E1" s="2" t="s">
        <v>5</v>
      </c>
      <c r="F1" s="2" t="s">
        <v>6</v>
      </c>
      <c r="G1" s="2" t="s">
        <v>7</v>
      </c>
      <c r="H1" s="2" t="s">
        <v>8</v>
      </c>
      <c r="I1" s="2" t="s">
        <v>9</v>
      </c>
      <c r="J1" s="2" t="s">
        <v>10</v>
      </c>
      <c r="K1" s="2" t="s">
        <v>11</v>
      </c>
      <c r="L1" s="2" t="s">
        <v>12</v>
      </c>
    </row>
    <row r="2" ht="382.5" customHeight="1">
      <c r="A2" s="4" t="s">
        <v>15</v>
      </c>
      <c r="B2" s="4">
        <v>1.0</v>
      </c>
      <c r="C2" s="4" t="s">
        <v>17</v>
      </c>
      <c r="D2" s="4" t="s">
        <v>22</v>
      </c>
      <c r="E2" s="4" t="s">
        <v>23</v>
      </c>
      <c r="F2" s="4" t="s">
        <v>25</v>
      </c>
      <c r="G2" s="6" t="s">
        <v>29</v>
      </c>
      <c r="H2" s="6" t="s">
        <v>32</v>
      </c>
      <c r="I2" s="7"/>
      <c r="J2" s="8" t="s">
        <v>15</v>
      </c>
      <c r="K2" s="8" t="s">
        <v>36</v>
      </c>
      <c r="L2" s="8" t="s">
        <v>38</v>
      </c>
    </row>
    <row r="3" ht="68.25" customHeight="1">
      <c r="A3" s="9" t="s">
        <v>40</v>
      </c>
      <c r="B3" s="9">
        <v>1.0</v>
      </c>
      <c r="C3" s="9" t="s">
        <v>44</v>
      </c>
      <c r="D3" s="9" t="s">
        <v>45</v>
      </c>
      <c r="E3" s="9" t="s">
        <v>46</v>
      </c>
      <c r="F3" s="9" t="s">
        <v>21</v>
      </c>
      <c r="G3" s="10" t="s">
        <v>29</v>
      </c>
      <c r="H3" s="10" t="s">
        <v>49</v>
      </c>
      <c r="I3" s="3"/>
      <c r="J3" s="8" t="s">
        <v>40</v>
      </c>
      <c r="K3" s="8" t="s">
        <v>51</v>
      </c>
      <c r="L3" s="8" t="s">
        <v>38</v>
      </c>
    </row>
    <row r="4" ht="45.0" customHeight="1">
      <c r="A4" s="9" t="s">
        <v>52</v>
      </c>
      <c r="B4" s="9">
        <v>1.0</v>
      </c>
      <c r="C4" s="9" t="s">
        <v>54</v>
      </c>
      <c r="D4" s="9" t="s">
        <v>55</v>
      </c>
      <c r="E4" s="9" t="s">
        <v>21</v>
      </c>
      <c r="F4" s="9" t="s">
        <v>57</v>
      </c>
      <c r="G4" s="10" t="s">
        <v>60</v>
      </c>
      <c r="H4" s="10" t="s">
        <v>61</v>
      </c>
      <c r="I4" s="3"/>
      <c r="J4" s="8" t="s">
        <v>52</v>
      </c>
      <c r="K4" s="8" t="s">
        <v>63</v>
      </c>
      <c r="L4" s="8" t="s">
        <v>38</v>
      </c>
    </row>
    <row r="5" ht="195.0" customHeight="1">
      <c r="A5" s="4" t="s">
        <v>66</v>
      </c>
      <c r="B5" s="4">
        <v>2.0</v>
      </c>
      <c r="C5" s="4" t="s">
        <v>16</v>
      </c>
      <c r="D5" s="4" t="s">
        <v>19</v>
      </c>
      <c r="E5" s="4" t="s">
        <v>71</v>
      </c>
      <c r="F5" s="4" t="s">
        <v>21</v>
      </c>
      <c r="G5" s="6" t="s">
        <v>29</v>
      </c>
      <c r="H5" s="6" t="s">
        <v>72</v>
      </c>
      <c r="I5" s="7"/>
      <c r="J5" s="8" t="s">
        <v>66</v>
      </c>
      <c r="K5" s="8" t="s">
        <v>37</v>
      </c>
      <c r="L5" s="8" t="s">
        <v>38</v>
      </c>
    </row>
    <row r="6" ht="195.0" customHeight="1">
      <c r="A6" s="4" t="s">
        <v>74</v>
      </c>
      <c r="B6" s="4">
        <v>3.0</v>
      </c>
      <c r="C6" s="4" t="s">
        <v>16</v>
      </c>
      <c r="D6" s="4" t="s">
        <v>19</v>
      </c>
      <c r="E6" s="4" t="s">
        <v>77</v>
      </c>
      <c r="F6" s="4" t="s">
        <v>21</v>
      </c>
      <c r="G6" s="6" t="s">
        <v>29</v>
      </c>
      <c r="H6" s="6" t="s">
        <v>79</v>
      </c>
      <c r="I6" s="7"/>
      <c r="J6" s="8" t="s">
        <v>74</v>
      </c>
      <c r="K6" s="8" t="s">
        <v>37</v>
      </c>
      <c r="L6" s="8" t="s">
        <v>38</v>
      </c>
    </row>
    <row r="7" ht="382.5" customHeight="1">
      <c r="A7" s="9" t="s">
        <v>82</v>
      </c>
      <c r="B7" s="9">
        <v>3.0</v>
      </c>
      <c r="C7" s="9" t="s">
        <v>17</v>
      </c>
      <c r="D7" s="9" t="s">
        <v>22</v>
      </c>
      <c r="E7" s="9" t="s">
        <v>86</v>
      </c>
      <c r="F7" s="9" t="s">
        <v>88</v>
      </c>
      <c r="G7" s="10" t="s">
        <v>90</v>
      </c>
      <c r="H7" s="10" t="s">
        <v>91</v>
      </c>
      <c r="I7" s="10" t="s">
        <v>92</v>
      </c>
      <c r="J7" s="8" t="s">
        <v>82</v>
      </c>
      <c r="K7" s="8" t="s">
        <v>36</v>
      </c>
      <c r="L7" s="8" t="s">
        <v>38</v>
      </c>
    </row>
    <row r="8" ht="76.5" customHeight="1">
      <c r="A8" s="9" t="s">
        <v>94</v>
      </c>
      <c r="B8" s="9">
        <v>3.0</v>
      </c>
      <c r="C8" s="9" t="s">
        <v>44</v>
      </c>
      <c r="D8" s="9" t="s">
        <v>45</v>
      </c>
      <c r="E8" s="9" t="s">
        <v>97</v>
      </c>
      <c r="F8" s="9" t="s">
        <v>21</v>
      </c>
      <c r="G8" s="10" t="s">
        <v>29</v>
      </c>
      <c r="H8" s="10" t="s">
        <v>98</v>
      </c>
      <c r="I8" s="3"/>
      <c r="J8" s="8" t="s">
        <v>94</v>
      </c>
      <c r="K8" s="8" t="s">
        <v>51</v>
      </c>
      <c r="L8" s="8" t="s">
        <v>38</v>
      </c>
    </row>
    <row r="9" ht="382.5" customHeight="1">
      <c r="A9" s="4" t="s">
        <v>100</v>
      </c>
      <c r="B9" s="4">
        <v>4.0</v>
      </c>
      <c r="C9" s="4" t="s">
        <v>17</v>
      </c>
      <c r="D9" s="4" t="s">
        <v>22</v>
      </c>
      <c r="E9" s="4" t="s">
        <v>103</v>
      </c>
      <c r="F9" s="4" t="s">
        <v>104</v>
      </c>
      <c r="G9" s="6" t="s">
        <v>105</v>
      </c>
      <c r="H9" s="6" t="s">
        <v>106</v>
      </c>
      <c r="I9" s="10" t="s">
        <v>92</v>
      </c>
      <c r="J9" s="8" t="s">
        <v>100</v>
      </c>
      <c r="K9" s="8" t="s">
        <v>36</v>
      </c>
      <c r="L9" s="8" t="s">
        <v>38</v>
      </c>
    </row>
    <row r="10" ht="82.5" customHeight="1">
      <c r="A10" s="9" t="s">
        <v>109</v>
      </c>
      <c r="B10" s="9">
        <v>4.0</v>
      </c>
      <c r="C10" s="9" t="s">
        <v>44</v>
      </c>
      <c r="D10" s="9" t="s">
        <v>45</v>
      </c>
      <c r="E10" s="9" t="s">
        <v>112</v>
      </c>
      <c r="F10" s="9" t="s">
        <v>21</v>
      </c>
      <c r="G10" s="10" t="s">
        <v>29</v>
      </c>
      <c r="H10" s="10" t="s">
        <v>114</v>
      </c>
      <c r="I10" s="3"/>
      <c r="J10" s="8" t="s">
        <v>109</v>
      </c>
      <c r="K10" s="8" t="s">
        <v>51</v>
      </c>
      <c r="L10" s="8" t="s">
        <v>38</v>
      </c>
    </row>
    <row r="11" ht="45.0" customHeight="1">
      <c r="A11" s="9" t="s">
        <v>115</v>
      </c>
      <c r="B11" s="9">
        <v>4.0</v>
      </c>
      <c r="C11" s="9" t="s">
        <v>54</v>
      </c>
      <c r="D11" s="9" t="s">
        <v>55</v>
      </c>
      <c r="E11" s="9" t="s">
        <v>21</v>
      </c>
      <c r="F11" s="9" t="s">
        <v>119</v>
      </c>
      <c r="G11" s="10" t="s">
        <v>60</v>
      </c>
      <c r="H11" s="10" t="s">
        <v>120</v>
      </c>
      <c r="I11" s="3"/>
      <c r="J11" s="8" t="s">
        <v>115</v>
      </c>
      <c r="K11" s="8" t="s">
        <v>63</v>
      </c>
      <c r="L11" s="8" t="s">
        <v>38</v>
      </c>
    </row>
    <row r="12" ht="195.0" customHeight="1">
      <c r="A12" s="4" t="s">
        <v>122</v>
      </c>
      <c r="B12" s="4">
        <v>5.0</v>
      </c>
      <c r="C12" s="4" t="s">
        <v>16</v>
      </c>
      <c r="D12" s="4" t="s">
        <v>19</v>
      </c>
      <c r="E12" s="4" t="s">
        <v>21</v>
      </c>
      <c r="F12" s="4" t="s">
        <v>125</v>
      </c>
      <c r="G12" s="6" t="s">
        <v>60</v>
      </c>
      <c r="H12" s="6" t="s">
        <v>127</v>
      </c>
      <c r="I12" s="7"/>
      <c r="J12" s="8" t="s">
        <v>122</v>
      </c>
      <c r="K12" s="8" t="s">
        <v>37</v>
      </c>
      <c r="L12" s="8" t="s">
        <v>38</v>
      </c>
    </row>
    <row r="13" ht="382.5" customHeight="1">
      <c r="A13" s="9" t="s">
        <v>129</v>
      </c>
      <c r="B13" s="9">
        <v>5.0</v>
      </c>
      <c r="C13" s="9" t="s">
        <v>17</v>
      </c>
      <c r="D13" s="9" t="s">
        <v>22</v>
      </c>
      <c r="E13" s="9" t="s">
        <v>132</v>
      </c>
      <c r="F13" s="9" t="s">
        <v>21</v>
      </c>
      <c r="G13" s="10" t="s">
        <v>105</v>
      </c>
      <c r="H13" s="10" t="s">
        <v>133</v>
      </c>
      <c r="I13" s="10" t="s">
        <v>134</v>
      </c>
      <c r="J13" s="8" t="s">
        <v>129</v>
      </c>
      <c r="K13" s="8" t="s">
        <v>36</v>
      </c>
      <c r="L13" s="8" t="s">
        <v>38</v>
      </c>
    </row>
    <row r="14" ht="63.0" customHeight="1">
      <c r="A14" s="9" t="s">
        <v>135</v>
      </c>
      <c r="B14" s="9">
        <v>5.0</v>
      </c>
      <c r="C14" s="9" t="s">
        <v>44</v>
      </c>
      <c r="D14" s="9" t="s">
        <v>45</v>
      </c>
      <c r="E14" s="9" t="s">
        <v>137</v>
      </c>
      <c r="F14" s="9" t="s">
        <v>21</v>
      </c>
      <c r="G14" s="10" t="s">
        <v>29</v>
      </c>
      <c r="H14" s="10" t="s">
        <v>139</v>
      </c>
      <c r="I14" s="3"/>
      <c r="J14" s="8" t="s">
        <v>135</v>
      </c>
      <c r="K14" s="8" t="s">
        <v>51</v>
      </c>
      <c r="L14" s="8" t="s">
        <v>38</v>
      </c>
    </row>
    <row r="15" ht="45.0" customHeight="1">
      <c r="A15" s="9" t="s">
        <v>140</v>
      </c>
      <c r="B15" s="9">
        <v>5.0</v>
      </c>
      <c r="C15" s="9" t="s">
        <v>143</v>
      </c>
      <c r="D15" s="9" t="s">
        <v>144</v>
      </c>
      <c r="E15" s="9" t="s">
        <v>21</v>
      </c>
      <c r="F15" s="9" t="s">
        <v>145</v>
      </c>
      <c r="G15" s="10" t="s">
        <v>60</v>
      </c>
      <c r="H15" s="10" t="s">
        <v>147</v>
      </c>
      <c r="I15" s="3"/>
      <c r="J15" s="8" t="s">
        <v>140</v>
      </c>
      <c r="K15" s="8" t="s">
        <v>148</v>
      </c>
      <c r="L15" s="8" t="s">
        <v>38</v>
      </c>
    </row>
    <row r="16" ht="382.5" customHeight="1">
      <c r="A16" s="4" t="s">
        <v>150</v>
      </c>
      <c r="B16" s="4">
        <v>6.0</v>
      </c>
      <c r="C16" s="4" t="s">
        <v>17</v>
      </c>
      <c r="D16" s="4" t="s">
        <v>22</v>
      </c>
      <c r="E16" s="4" t="s">
        <v>156</v>
      </c>
      <c r="F16" s="4" t="s">
        <v>21</v>
      </c>
      <c r="G16" s="6" t="s">
        <v>60</v>
      </c>
      <c r="H16" s="6" t="s">
        <v>159</v>
      </c>
      <c r="I16" s="7"/>
      <c r="J16" s="8" t="s">
        <v>150</v>
      </c>
      <c r="K16" s="8" t="s">
        <v>36</v>
      </c>
      <c r="L16" s="8" t="s">
        <v>38</v>
      </c>
    </row>
    <row r="17" ht="45.0" customHeight="1">
      <c r="A17" s="9" t="s">
        <v>161</v>
      </c>
      <c r="B17" s="9">
        <v>6.0</v>
      </c>
      <c r="C17" s="9" t="s">
        <v>143</v>
      </c>
      <c r="D17" s="9" t="s">
        <v>144</v>
      </c>
      <c r="E17" s="9" t="s">
        <v>21</v>
      </c>
      <c r="F17" s="9" t="s">
        <v>163</v>
      </c>
      <c r="G17" s="10" t="s">
        <v>60</v>
      </c>
      <c r="H17" s="10" t="s">
        <v>164</v>
      </c>
      <c r="I17" s="3"/>
      <c r="J17" s="8" t="s">
        <v>161</v>
      </c>
      <c r="K17" s="8" t="s">
        <v>148</v>
      </c>
      <c r="L17" s="8" t="s">
        <v>38</v>
      </c>
    </row>
    <row r="18" ht="382.5" customHeight="1">
      <c r="A18" s="4" t="s">
        <v>166</v>
      </c>
      <c r="B18" s="4">
        <v>7.0</v>
      </c>
      <c r="C18" s="4" t="s">
        <v>17</v>
      </c>
      <c r="D18" s="4" t="s">
        <v>22</v>
      </c>
      <c r="E18" s="4" t="s">
        <v>167</v>
      </c>
      <c r="F18" s="4" t="s">
        <v>21</v>
      </c>
      <c r="G18" s="6" t="s">
        <v>60</v>
      </c>
      <c r="H18" s="6" t="s">
        <v>168</v>
      </c>
      <c r="I18" s="7"/>
      <c r="J18" s="8" t="s">
        <v>166</v>
      </c>
      <c r="K18" s="8" t="s">
        <v>36</v>
      </c>
      <c r="L18" s="8"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8">
    <cfRule type="expression" dxfId="0" priority="1">
      <formula>$G2=""</formula>
    </cfRule>
  </conditionalFormatting>
  <conditionalFormatting sqref="H2:I18">
    <cfRule type="expression" dxfId="1" priority="2">
      <formula>OR(AND($G2&lt;&gt;"",$H2=""),AND($G2="both fair: wording allows both",$I2=""))</formula>
    </cfRule>
  </conditionalFormatting>
  <dataValidations>
    <dataValidation type="list" allowBlank="1" showErrorMessage="1" sqref="G2:G18">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2" t="s">
        <v>1</v>
      </c>
      <c r="B1" s="2" t="s">
        <v>2</v>
      </c>
      <c r="C1" s="2" t="s">
        <v>3</v>
      </c>
      <c r="D1" s="2" t="s">
        <v>4</v>
      </c>
      <c r="E1" s="2" t="s">
        <v>5</v>
      </c>
      <c r="F1" s="2" t="s">
        <v>6</v>
      </c>
      <c r="G1" s="2" t="s">
        <v>7</v>
      </c>
      <c r="H1" s="2" t="s">
        <v>8</v>
      </c>
      <c r="I1" s="2" t="s">
        <v>9</v>
      </c>
      <c r="J1" s="2" t="s">
        <v>10</v>
      </c>
      <c r="K1" s="2" t="s">
        <v>11</v>
      </c>
      <c r="L1" s="2" t="s">
        <v>12</v>
      </c>
    </row>
    <row r="2" ht="195.0" customHeight="1">
      <c r="A2" s="4" t="s">
        <v>14</v>
      </c>
      <c r="B2" s="4">
        <v>1.0</v>
      </c>
      <c r="C2" s="4" t="s">
        <v>16</v>
      </c>
      <c r="D2" s="4" t="s">
        <v>19</v>
      </c>
      <c r="E2" s="4" t="s">
        <v>20</v>
      </c>
      <c r="F2" s="4" t="s">
        <v>21</v>
      </c>
      <c r="G2" s="6" t="s">
        <v>29</v>
      </c>
      <c r="H2" s="6" t="s">
        <v>31</v>
      </c>
      <c r="I2" s="7"/>
      <c r="J2" s="8" t="s">
        <v>14</v>
      </c>
      <c r="K2" s="8" t="s">
        <v>37</v>
      </c>
      <c r="L2" s="8" t="s">
        <v>38</v>
      </c>
    </row>
    <row r="3" ht="382.5" customHeight="1">
      <c r="A3" s="9" t="s">
        <v>42</v>
      </c>
      <c r="B3" s="9">
        <v>1.0</v>
      </c>
      <c r="C3" s="9" t="s">
        <v>17</v>
      </c>
      <c r="D3" s="9" t="s">
        <v>22</v>
      </c>
      <c r="E3" s="9" t="s">
        <v>48</v>
      </c>
      <c r="F3" s="9" t="s">
        <v>50</v>
      </c>
      <c r="G3" s="10" t="s">
        <v>29</v>
      </c>
      <c r="H3" s="10" t="s">
        <v>53</v>
      </c>
      <c r="I3" s="3"/>
      <c r="J3" s="8" t="s">
        <v>42</v>
      </c>
      <c r="K3" s="8" t="s">
        <v>36</v>
      </c>
      <c r="L3" s="8" t="s">
        <v>38</v>
      </c>
    </row>
    <row r="4" ht="195.0" customHeight="1">
      <c r="A4" s="4" t="s">
        <v>58</v>
      </c>
      <c r="B4" s="4">
        <v>2.0</v>
      </c>
      <c r="C4" s="4" t="s">
        <v>16</v>
      </c>
      <c r="D4" s="4" t="s">
        <v>19</v>
      </c>
      <c r="E4" s="4" t="s">
        <v>64</v>
      </c>
      <c r="F4" s="4" t="s">
        <v>21</v>
      </c>
      <c r="G4" s="6" t="s">
        <v>29</v>
      </c>
      <c r="H4" s="6" t="s">
        <v>68</v>
      </c>
      <c r="I4" s="7"/>
      <c r="J4" s="8" t="s">
        <v>58</v>
      </c>
      <c r="K4" s="8" t="s">
        <v>37</v>
      </c>
      <c r="L4" s="8" t="s">
        <v>38</v>
      </c>
    </row>
    <row r="5" ht="382.5" customHeight="1">
      <c r="A5" s="9" t="s">
        <v>70</v>
      </c>
      <c r="B5" s="9">
        <v>2.0</v>
      </c>
      <c r="C5" s="9" t="s">
        <v>17</v>
      </c>
      <c r="D5" s="9" t="s">
        <v>22</v>
      </c>
      <c r="E5" s="9" t="s">
        <v>73</v>
      </c>
      <c r="F5" s="9" t="s">
        <v>75</v>
      </c>
      <c r="G5" s="10" t="s">
        <v>29</v>
      </c>
      <c r="H5" s="10" t="s">
        <v>76</v>
      </c>
      <c r="I5" s="3"/>
      <c r="J5" s="8" t="s">
        <v>70</v>
      </c>
      <c r="K5" s="8" t="s">
        <v>36</v>
      </c>
      <c r="L5" s="8" t="s">
        <v>38</v>
      </c>
    </row>
    <row r="6" ht="382.5" customHeight="1">
      <c r="A6" s="4" t="s">
        <v>78</v>
      </c>
      <c r="B6" s="4">
        <v>3.0</v>
      </c>
      <c r="C6" s="4" t="s">
        <v>17</v>
      </c>
      <c r="D6" s="4" t="s">
        <v>22</v>
      </c>
      <c r="E6" s="4" t="s">
        <v>80</v>
      </c>
      <c r="F6" s="4" t="s">
        <v>81</v>
      </c>
      <c r="G6" s="6" t="s">
        <v>60</v>
      </c>
      <c r="H6" s="6" t="s">
        <v>83</v>
      </c>
      <c r="I6" s="7"/>
      <c r="J6" s="8" t="s">
        <v>78</v>
      </c>
      <c r="K6" s="8" t="s">
        <v>36</v>
      </c>
      <c r="L6" s="8" t="s">
        <v>38</v>
      </c>
    </row>
    <row r="7" ht="163.5" customHeight="1">
      <c r="A7" s="9" t="s">
        <v>84</v>
      </c>
      <c r="B7" s="9">
        <v>3.0</v>
      </c>
      <c r="C7" s="9" t="s">
        <v>85</v>
      </c>
      <c r="D7" s="9" t="s">
        <v>87</v>
      </c>
      <c r="E7" s="9" t="s">
        <v>89</v>
      </c>
      <c r="F7" s="9" t="s">
        <v>21</v>
      </c>
      <c r="G7" s="10" t="s">
        <v>29</v>
      </c>
      <c r="H7" s="10" t="s">
        <v>93</v>
      </c>
      <c r="I7" s="3"/>
      <c r="J7" s="8" t="s">
        <v>84</v>
      </c>
      <c r="K7" s="8" t="s">
        <v>95</v>
      </c>
      <c r="L7" s="8" t="s">
        <v>38</v>
      </c>
    </row>
    <row r="8" ht="195.0" customHeight="1">
      <c r="A8" s="4" t="s">
        <v>96</v>
      </c>
      <c r="B8" s="4">
        <v>4.0</v>
      </c>
      <c r="C8" s="4" t="s">
        <v>16</v>
      </c>
      <c r="D8" s="4" t="s">
        <v>19</v>
      </c>
      <c r="E8" s="4" t="s">
        <v>99</v>
      </c>
      <c r="F8" s="4" t="s">
        <v>21</v>
      </c>
      <c r="G8" s="6" t="s">
        <v>60</v>
      </c>
      <c r="H8" s="6" t="s">
        <v>101</v>
      </c>
      <c r="I8" s="7"/>
      <c r="J8" s="8" t="s">
        <v>96</v>
      </c>
      <c r="K8" s="8" t="s">
        <v>37</v>
      </c>
      <c r="L8" s="8" t="s">
        <v>38</v>
      </c>
    </row>
    <row r="9" ht="382.5" customHeight="1">
      <c r="A9" s="9" t="s">
        <v>102</v>
      </c>
      <c r="B9" s="9">
        <v>4.0</v>
      </c>
      <c r="C9" s="9" t="s">
        <v>17</v>
      </c>
      <c r="D9" s="9" t="s">
        <v>22</v>
      </c>
      <c r="E9" s="9" t="s">
        <v>107</v>
      </c>
      <c r="F9" s="9" t="s">
        <v>108</v>
      </c>
      <c r="G9" s="10" t="s">
        <v>105</v>
      </c>
      <c r="H9" s="10" t="s">
        <v>110</v>
      </c>
      <c r="I9" s="10" t="s">
        <v>111</v>
      </c>
      <c r="J9" s="8" t="s">
        <v>102</v>
      </c>
      <c r="K9" s="8" t="s">
        <v>36</v>
      </c>
      <c r="L9" s="8" t="s">
        <v>38</v>
      </c>
    </row>
    <row r="10" ht="195.0" customHeight="1">
      <c r="A10" s="4" t="s">
        <v>113</v>
      </c>
      <c r="B10" s="4">
        <v>5.0</v>
      </c>
      <c r="C10" s="4" t="s">
        <v>16</v>
      </c>
      <c r="D10" s="4" t="s">
        <v>19</v>
      </c>
      <c r="E10" s="4" t="s">
        <v>116</v>
      </c>
      <c r="F10" s="4" t="s">
        <v>21</v>
      </c>
      <c r="G10" s="6" t="s">
        <v>29</v>
      </c>
      <c r="H10" s="6" t="s">
        <v>117</v>
      </c>
      <c r="I10" s="7"/>
      <c r="J10" s="8" t="s">
        <v>113</v>
      </c>
      <c r="K10" s="8" t="s">
        <v>37</v>
      </c>
      <c r="L10" s="8" t="s">
        <v>38</v>
      </c>
    </row>
    <row r="11" ht="195.0" customHeight="1">
      <c r="A11" s="4" t="s">
        <v>121</v>
      </c>
      <c r="B11" s="4">
        <v>6.0</v>
      </c>
      <c r="C11" s="4" t="s">
        <v>16</v>
      </c>
      <c r="D11" s="4" t="s">
        <v>19</v>
      </c>
      <c r="E11" s="4" t="s">
        <v>123</v>
      </c>
      <c r="F11" s="4" t="s">
        <v>21</v>
      </c>
      <c r="G11" s="6" t="s">
        <v>29</v>
      </c>
      <c r="H11" s="6" t="s">
        <v>124</v>
      </c>
      <c r="I11" s="7"/>
      <c r="J11" s="8" t="s">
        <v>121</v>
      </c>
      <c r="K11" s="8" t="s">
        <v>37</v>
      </c>
      <c r="L11" s="8" t="s">
        <v>38</v>
      </c>
    </row>
    <row r="12" ht="195.0" customHeight="1">
      <c r="A12" s="4" t="s">
        <v>126</v>
      </c>
      <c r="B12" s="4">
        <v>7.0</v>
      </c>
      <c r="C12" s="4" t="s">
        <v>16</v>
      </c>
      <c r="D12" s="4" t="s">
        <v>19</v>
      </c>
      <c r="E12" s="4" t="s">
        <v>128</v>
      </c>
      <c r="F12" s="4" t="s">
        <v>21</v>
      </c>
      <c r="G12" s="6" t="s">
        <v>29</v>
      </c>
      <c r="H12" s="6" t="s">
        <v>130</v>
      </c>
      <c r="I12" s="7"/>
      <c r="J12" s="8" t="s">
        <v>126</v>
      </c>
      <c r="K12" s="8" t="s">
        <v>37</v>
      </c>
      <c r="L12" s="8" t="s">
        <v>38</v>
      </c>
    </row>
    <row r="13" ht="382.5" customHeight="1">
      <c r="A13" s="9" t="s">
        <v>131</v>
      </c>
      <c r="B13" s="9">
        <v>7.0</v>
      </c>
      <c r="C13" s="9" t="s">
        <v>17</v>
      </c>
      <c r="D13" s="9" t="s">
        <v>22</v>
      </c>
      <c r="E13" s="9" t="s">
        <v>136</v>
      </c>
      <c r="F13" s="9" t="s">
        <v>21</v>
      </c>
      <c r="G13" s="10" t="s">
        <v>105</v>
      </c>
      <c r="H13" s="10" t="s">
        <v>138</v>
      </c>
      <c r="I13" s="10" t="s">
        <v>138</v>
      </c>
      <c r="J13" s="8" t="s">
        <v>131</v>
      </c>
      <c r="K13" s="8" t="s">
        <v>36</v>
      </c>
      <c r="L13" s="8" t="s">
        <v>38</v>
      </c>
    </row>
    <row r="14" ht="195.0" customHeight="1">
      <c r="A14" s="4" t="s">
        <v>141</v>
      </c>
      <c r="B14" s="4">
        <v>8.0</v>
      </c>
      <c r="C14" s="4" t="s">
        <v>16</v>
      </c>
      <c r="D14" s="4" t="s">
        <v>19</v>
      </c>
      <c r="E14" s="4" t="s">
        <v>146</v>
      </c>
      <c r="F14" s="4" t="s">
        <v>21</v>
      </c>
      <c r="G14" s="6" t="s">
        <v>29</v>
      </c>
      <c r="H14" s="6" t="s">
        <v>149</v>
      </c>
      <c r="I14" s="7"/>
      <c r="J14" s="8" t="s">
        <v>141</v>
      </c>
      <c r="K14" s="8" t="s">
        <v>37</v>
      </c>
      <c r="L14" s="8" t="s">
        <v>38</v>
      </c>
    </row>
    <row r="15" ht="45.0" customHeight="1">
      <c r="A15" s="4" t="s">
        <v>152</v>
      </c>
      <c r="B15" s="4">
        <v>9.0</v>
      </c>
      <c r="C15" s="4" t="s">
        <v>153</v>
      </c>
      <c r="D15" s="4" t="s">
        <v>154</v>
      </c>
      <c r="E15" s="4" t="s">
        <v>21</v>
      </c>
      <c r="F15" s="4" t="s">
        <v>155</v>
      </c>
      <c r="G15" s="6" t="s">
        <v>60</v>
      </c>
      <c r="H15" s="6" t="s">
        <v>157</v>
      </c>
      <c r="I15" s="7"/>
      <c r="J15" s="8" t="s">
        <v>152</v>
      </c>
      <c r="K15" s="8" t="s">
        <v>158</v>
      </c>
      <c r="L15" s="8" t="s">
        <v>38</v>
      </c>
    </row>
    <row r="16" ht="163.5" customHeight="1">
      <c r="A16" s="9" t="s">
        <v>160</v>
      </c>
      <c r="B16" s="9">
        <v>9.0</v>
      </c>
      <c r="C16" s="9" t="s">
        <v>85</v>
      </c>
      <c r="D16" s="9" t="s">
        <v>87</v>
      </c>
      <c r="E16" s="9" t="s">
        <v>162</v>
      </c>
      <c r="F16" s="9" t="s">
        <v>21</v>
      </c>
      <c r="G16" s="10" t="s">
        <v>29</v>
      </c>
      <c r="H16" s="10" t="s">
        <v>165</v>
      </c>
      <c r="I16" s="3"/>
      <c r="J16" s="8" t="s">
        <v>160</v>
      </c>
      <c r="K16" s="8" t="s">
        <v>95</v>
      </c>
      <c r="L16" s="8"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6">
    <cfRule type="expression" dxfId="0" priority="1">
      <formula>$G2=""</formula>
    </cfRule>
  </conditionalFormatting>
  <conditionalFormatting sqref="H2:I16">
    <cfRule type="expression" dxfId="1" priority="2">
      <formula>OR(AND($G2&lt;&gt;"",$H2=""),AND($G2="both fair: wording allows both",$I2=""))</formula>
    </cfRule>
  </conditionalFormatting>
  <dataValidations>
    <dataValidation type="list" allowBlank="1" showErrorMessage="1" sqref="G2:G16">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