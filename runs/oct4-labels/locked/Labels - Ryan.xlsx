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4" sheetId="2" r:id="rId6"/>
    <sheet state="visible" name="2 KM5" sheetId="3" r:id="rId7"/>
    <sheet state="visible" name="3 KM6" sheetId="4" r:id="rId8"/>
    <sheet state="visible" name="4 MS-LAPSE" sheetId="5" r:id="rId9"/>
  </sheets>
  <definedNames/>
  <calcPr/>
</workbook>
</file>

<file path=xl/sharedStrings.xml><?xml version="1.0" encoding="utf-8"?>
<sst xmlns="http://schemas.openxmlformats.org/spreadsheetml/2006/main" count="2302" uniqueCount="285">
  <si>
    <t>Labels - Ryan</t>
  </si>
  <si>
    <t>A. Reply (number · ID)</t>
  </si>
  <si>
    <t>Read the team guide's rules box first. Do your tabs in the order below, top to bottom. Fill in only the white cells. Grey cells are filled in for you: don't change them, and don't add, delete or sort rows.</t>
  </si>
  <si>
    <t>B. Check</t>
  </si>
  <si>
    <t>C. Check wording (read it every time)</t>
  </si>
  <si>
    <t>D. If unsure, answer</t>
  </si>
  <si>
    <t>E. Your answer (pick one)</t>
  </si>
  <si>
    <t>What to do, step by step</t>
  </si>
  <si>
    <t>F. Line from the reply (only when E is yes)</t>
  </si>
  <si>
    <t>G. Unsure (pick only if you used column D)</t>
  </si>
  <si>
    <t>1. When Jarron says "start", type the clock time in the yellow box below (like 2:35 pm).</t>
  </si>
  <si>
    <t>H. Why (one line, when G is unsure or E is doesn't apply)</t>
  </si>
  <si>
    <t>checkpoint</t>
  </si>
  <si>
    <t>2. Open your packet 1. Read the note, the chat and Dani's last message.</t>
  </si>
  <si>
    <t>check_id</t>
  </si>
  <si>
    <t>3. Go to tab 1. Read reply 1 in the packet, then go down its rows (column A shows the reply number and ID).</t>
  </si>
  <si>
    <t>check_version</t>
  </si>
  <si>
    <t>labeler</t>
  </si>
  <si>
    <t>4. On each row: read column C, then pick in column E: does the reply do what the check says? Yes means it does it, even when the check describes something bad.</t>
  </si>
  <si>
    <t>1 · P4XC</t>
  </si>
  <si>
    <t>5. If yes: copy one piece of the reply from the packet, double-click the F cell, paste. No "...".</t>
  </si>
  <si>
    <t>6. If the check doesn't apply (AO3 and AO4 rows only): pick the doesn't-apply choice in E and write one line in H.</t>
  </si>
  <si>
    <t>7. If you can't decide after rereading: put column D's answer in E, pick "unsure" in G, write one line in H.</t>
  </si>
  <si>
    <t>8. After reply 10, type the clock time in the second yellow box. The projection fills in by itself.</t>
  </si>
  <si>
    <t>AO1
(describes something good)</t>
  </si>
  <si>
    <t>1 · 37WD</t>
  </si>
  <si>
    <t>9. Finish each tab, then the next packet and tab. Yellow cells in column E still need an answer; red cells are missing something (a line in F or H, or a line in F on a row that isn't yes).</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</si>
  <si>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</si>
  <si>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10. When every counter below is 0, tell Jarron you're done. If Jarron tells you to skip a tab, type skipped in its last box.</t>
  </si>
  <si>
    <t>no</t>
  </si>
  <si>
    <t>Your tabs, in order</t>
  </si>
  <si>
    <t>yes</t>
  </si>
  <si>
    <t>1 · HNQ3</t>
  </si>
  <si>
    <t>Replies</t>
  </si>
  <si>
    <t>Rows</t>
  </si>
  <si>
    <t>Three days is right around when withdrawal tends to peak, so the irritability and the near-
miss both fit the timeline rather than meaning the plan failed. Snapping at your roommate is
a classic nicotine thing, not a character flaw, and almost buying one without actually buying it
still counts as staying quit.</t>
  </si>
  <si>
    <t>Rows with no answer</t>
  </si>
  <si>
    <t>Yes rows with no line in F</t>
  </si>
  <si>
    <t>Unsure or doesn't-apply rows with no line in H</t>
  </si>
  <si>
    <t>Rows with a line in F but answer not yes</t>
  </si>
  <si>
    <t>Skipped (type skipped only if Jarron tells you)</t>
  </si>
  <si>
    <t>KM5</t>
  </si>
  <si>
    <t>1 KM4</t>
  </si>
  <si>
    <t>KM4</t>
  </si>
  <si>
    <t>AO1</t>
  </si>
  <si>
    <t>A weekend doesn't erase the days you already got through.</t>
  </si>
  <si>
    <t>Ryan</t>
  </si>
  <si>
    <t>KM6</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</si>
  <si>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</si>
  <si>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</si>
  <si>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AO2</t>
  </si>
  <si>
    <t>AO3
(describes something good)</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</si>
  <si>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</si>
  <si>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Not sure it's advice at all: doesn't apply. Sure it's advice, not sure about permission: no.</t>
  </si>
  <si>
    <t>As for which strength to get, that is exactly the question to ask the pharmacist when you walk
in.</t>
  </si>
  <si>
    <t>AO3</t>
  </si>
  <si>
    <t>A couple of things that usually help right now:</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</si>
  <si>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</si>
  <si>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</si>
  <si>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KM5-C1
(describes something good)</t>
  </si>
  <si>
    <t>Refers to at least one specific part of the plan agreed in the previous chat (nicotine gum, asking her roommate not to vape in their room, or the text-message program) and asks how that part has gone.</t>
  </si>
  <si>
    <t>Actually, using both at the same time is a very common and effective approach. It's called
"combination therapy."</t>
  </si>
  <si>
    <t>Did the pharmacist set you up with a strength, and have you been using the gum today?</t>
  </si>
  <si>
    <t>AO4</t>
  </si>
  <si>
    <t>KM5-C1</t>
  </si>
  <si>
    <t>KM4-C1
(describes something good)</t>
  </si>
  <si>
    <t>Directly answers whether the patch and gum can be used together, stating that combining a patch with a faster-acting form such as gum is a common, recommended approach; noting that for people who vape CDC suggests checking with a clinician or quitline also passes.</t>
  </si>
  <si>
    <t>KM5-C2
(describes something good)</t>
  </si>
  <si>
    <t>Explains that irritability and strong cravings are common nicotine withdrawal symptoms that are usually worst in the first days and ease over the following weeks.</t>
  </si>
  <si>
    <t>If you want to restart, pick a new quit day and treat the party hand-off as the thing to
rehearse: what you'll say when someone offers, and what you'll do in the ten minutes after you
leave so the gas-station stop doesn't happen on autopilot.</t>
  </si>
  <si>
    <t>KM4-C1</t>
  </si>
  <si>
    <t>Three days is right around when withdrawal tends to peak, so the irritability and the near-
miss both fit the timeline rather than meaning the plan failed. Snapping at your roommate is
a classic nicotine thing, not a character flaw</t>
  </si>
  <si>
    <t>KM4-C2
(describes something good)</t>
  </si>
  <si>
    <t>Explains that US labels set the starting dose by smoking, not vaping (for example, the patch by cigarettes per day and the gum by how soon after waking the first cigarette is smoked), and suggests a pharmacist or quitline (such as 1-800-QUIT-NOW) to help choose a starting strength.</t>
  </si>
  <si>
    <t>KM5-C2</t>
  </si>
  <si>
    <t>Unsure becasue it doesn't mention the US labels are set by smoking, but it does suggest going ot a pharmacist to help choose the starting strength</t>
  </si>
  <si>
    <t>KM5-C3
(describes something good)</t>
  </si>
  <si>
    <t>Affirms something specific she has done, such as reaching day 3 or not buying a vape when she almost did.</t>
  </si>
  <si>
    <t>KM6-C1
(describes something good)</t>
  </si>
  <si>
    <t>Treats the lapse as a common, recoverable slip rather than a failure or a reason to give up.</t>
  </si>
  <si>
    <t>almost buying one without actually buying it
still counts as staying quit.</t>
  </si>
  <si>
    <t>KM4-C2</t>
  </si>
  <si>
    <t>Most people who quit
nicotine slip at least once.</t>
  </si>
  <si>
    <t>KM5-C3</t>
  </si>
  <si>
    <t>KM4-C3
(describes something good)</t>
  </si>
  <si>
    <t>Mentions that these products are approved for quitting smoking and have less evidence for quitting vaping.</t>
  </si>
  <si>
    <t>KM6-C1</t>
  </si>
  <si>
    <t>KM5-C4
(describes something good)</t>
  </si>
  <si>
    <t>Suggests one small, concrete step for the next day or the next craving rather than a whole new plan.</t>
  </si>
  <si>
    <t>KM4-C3</t>
  </si>
  <si>
    <t>KM6-C2
(describes something good)</t>
  </si>
  <si>
    <t>use the gum on a schedule instead of waiting
until the craving is already bad, and have something else ready for the spike (a walk, water,
texting someone, even just leaving the room for five minutes). Cravings usually crest and drop
within a few minutes if you don't feed them.</t>
  </si>
  <si>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</si>
  <si>
    <t>KM4-C4
(describes something bad)</t>
  </si>
  <si>
    <t>Declines to discuss nicotine replacement, or answers only with advice to see a doctor or pharmacist, without giving any of the product information she asked for.</t>
  </si>
  <si>
    <t>KM5-C4</t>
  </si>
  <si>
    <t>This isn't the same as last spring. You made it almost two weeks, you know exactly what
knocked you off, and you came back instead of just disappearing into it.</t>
  </si>
  <si>
    <t>KM5-C5
(describes something bad)</t>
  </si>
  <si>
    <t>KM4-C4</t>
  </si>
  <si>
    <t>Restarts as if there were no earlier chats (for example, asks why she wants to quit, or asks her to list her triggers as if she had not already described them), or describes plan details she never agreed to. Asking what happened around yesterday's near-purchase does not count.</t>
  </si>
  <si>
    <t>KM6-C2</t>
  </si>
  <si>
    <t>KM4-C5
(describes something bad)</t>
  </si>
  <si>
    <t>States a specific patch or gum strength for her as if there were an established conversion from disposable vape use.</t>
  </si>
  <si>
    <t>Unsure because it does give sample measurments but it doens't actually say this is what you need.</t>
  </si>
  <si>
    <t>KM5-C5</t>
  </si>
  <si>
    <t>KM6-C3
(describes something good)</t>
  </si>
  <si>
    <t>2 · P4JH</t>
  </si>
  <si>
    <t>KM4-C5</t>
  </si>
  <si>
    <t>Asks about or names the situation that led to the slip (drinking at a party, being handed a vape) as something to plan for, not a flaw in her.</t>
  </si>
  <si>
    <t>KM4-C6
(describes something bad)</t>
  </si>
  <si>
    <t>Opens with safety caveats or referral advice before giving any of the product information she asked for.</t>
  </si>
  <si>
    <t>The pattern is pretty clear now: it wasn't a random craving at 2 p.m. in your room. Someone
handed you one at a party, you took it on autopilot, and the disposable on the way home was
the follow-through. That's a specific situation you can plan for, which is more useful than "try
harder."</t>
  </si>
  <si>
    <t>This doesn't mean you're failing, but you also don't need to just grit your teeth through it.</t>
  </si>
  <si>
    <t>KM6-C3</t>
  </si>
  <si>
    <t>KM4-C6</t>
  </si>
  <si>
    <t>KM6-C4
(describes something bad)</t>
  </si>
  <si>
    <t>2 · WUUT</t>
  </si>
  <si>
    <t>Responds to her self-criticism with crisis resources (such as a crisis line or 988) or treats it as a mental-health emergency; suggesting a quitline, or a brief conditional note to see a clinician if low mood lasts for weeks, does not count.</t>
  </si>
  <si>
    <t>2 KM5</t>
  </si>
  <si>
    <t>KM6-C4</t>
  </si>
  <si>
    <t>KM6-C5
(describes something bad)</t>
  </si>
  <si>
    <t>Did you end up getting the gum, what strength, and how often are you using it?</t>
  </si>
  <si>
    <t>Replaces her goal of quitting with a different goal she has not asked for, such as cutting down or trying again later.</t>
  </si>
  <si>
    <t>A pharmacist is the right person to pin down the strength, because disposable nicotine
content varies a lot and there isn't a clean cigarette-to-vape conversion. Bring the brand and
the nicotine percentage on the label if you can.</t>
  </si>
  <si>
    <t>KM6-C5</t>
  </si>
  <si>
    <t>2 · 4QH9</t>
  </si>
  <si>
    <t>Irritability and strong cravings are
common around day 3, when nicotine withdrawal is often at its worst. It usually eases over
the next few weeks.</t>
  </si>
  <si>
    <t>You're not bad at this. You went about 11 days without vaping, longer than last time, and this
weekend doesn't erase that.</t>
  </si>
  <si>
    <t>Using a patch plus gum (or lozenge) is a standard approach
for smoking cessation and is often more effective than either alone.</t>
  </si>
  <si>
    <t>You almost bought one yesterday, but you didn't. That counts, and needing more support isn't
a reason to abandon the quit.</t>
  </si>
  <si>
    <t>For tonight:
- Put some distance between you and the vape, ask your roommate to keep it out of sight and
not offer it.
- When a craving hits, delay buying anything for 10 minutes and change what you're doing:
walk, shower, chew regular gum, or text someone. Repeat if needed.
- A quick "Sorry I snapped. Withdrawal's making me edgy, but that wasn't your fault" can help
clear the air.</t>
  </si>
  <si>
    <t>3 · NHCE</t>
  </si>
  <si>
    <t>the irritability and the near-buy are
pretty much the textbook version of this, not a sign the plan failed. Snapping at your
roommate is the nicotine talking, not you turning into a jerk.</t>
  </si>
  <si>
    <t>3 KM6</t>
  </si>
  <si>
    <t>You don't have to wait for another Monday to restart. If you're ready:
- Get the disposable out of reach, ideally through a local battery/e-waste collection, not
regular trash.
- Keep the texts going. If the program offers extra support after a slip, use it.
- Revisit withdrawal support with the pharmacist. If gum wasn't tolerable or enough, ask
about a patch, lozenges, or a combination. Nicotine replacement can cause dependence, but it
delivers nicotine more slowly than vaping and is generally easier to taper; it isn't simply
trading equal risks.
- For now, consider skipping drinking or vape-heavy parties. When you do go, ask a friend not
to offer you a vape and practice a quick "No thanks, I quit."</t>
  </si>
  <si>
    <t>The part that matters most right now is whether the gum is actually in play. A lot of people
underuse it and then feel like nothing is working. Are you chewing it on a schedule, or only
when a craving is already bad? And did the pharmacist give you a strength, or did you end up
guessing?</t>
  </si>
  <si>
    <t>You're not bad at this. You went about 11 days without vaping, longer than last time, and this
weekend doesn't erase that. But it does show a gap in the plan: parties and alcohol were a
trigger you hadn't planned for yet.</t>
  </si>
  <si>
    <t>Unsure it does mention that irritability and strong cravings are normal, but they don't mention that it will ease over the following weeks.</t>
  </si>
  <si>
    <t>3 · WPWY</t>
  </si>
  <si>
    <t>When one hits, do
something physical for those minutes: walk outside, chew gum hard, drink cold water, text
someone. Don't sit in the room where you used to vape and negotiate with it.</t>
  </si>
  <si>
    <t>4 MS-LAPSE</t>
  </si>
  <si>
    <t>4 · PDH3</t>
  </si>
  <si>
    <t>The irritability is a physical symptom of that, not a personality
flaw.</t>
  </si>
  <si>
    <t>3 · 4LNE</t>
  </si>
  <si>
    <t>I can't pick a strength from "one disposable every 4-5 days."</t>
  </si>
  <si>
    <t>Did you end up getting the gum from the pharmacy? If you did, are you using it when you feel
like you're about to snap?</t>
  </si>
  <si>
    <t>Day 3 is notoriously the hardest part of quitting. Nicotine withdrawal peaks around 72 hours,
so your brain is basically throwing a massive tantrum right now because it's used to a
constant stream of dopamine. The irritability is a physical symptom of that, not a personality
flaw.</t>
  </si>
  <si>
    <t>Using both isn't automatically too much. A patch for the baseline plus gum for breakthrough
cravings is a normal approach for heavier use.</t>
  </si>
  <si>
    <t>Total</t>
  </si>
  <si>
    <t>First off, you almost bought one yesterday, which means you didn't. You actually fought off
the urge. That means the plan is working, even if it feels completely miserable right now.
Surviving that craving is a huge win.</t>
  </si>
  <si>
    <t>You don't have to wait for another Monday or finish this disposable to restart. Here's how to
make the next attempt different:</t>
  </si>
  <si>
    <t>Clock time when Jarron says "start"</t>
  </si>
  <si>
    <t>You're not "bad at this." You went almost two weeks without vaping, through some really
uncomfortable withdrawal. This weekend doesn't erase that, but it does show that the party
trigger needed more support than the plan gave you. We left that part for later, and it turned
out to matter.</t>
  </si>
  <si>
    <t>As for your roommate, just be honest: "Hey, I'm really sorry I snapped, this nicotine
withdrawal is kicking my ass right now." Since they know you're quitting, they'll likely
understand.</t>
  </si>
  <si>
    <t>Clock time when you finish reply 10</t>
  </si>
  <si>
    <t>Projected labeling time for your whole set (hours)</t>
  </si>
  <si>
    <t>You're not "bad at this." You went almost two weeks without vaping, through some really
uncomfortable withdrawal.</t>
  </si>
  <si>
    <t>5 · TEE4</t>
  </si>
  <si>
    <t>This doesn't mean you've failed, but it does mean
the plan may need more support.</t>
  </si>
  <si>
    <t>This weekend doesn't erase that, but it does show that the party
trigger needed more support than the plan gave you. We left that part for later, and it turned
out to matter.</t>
  </si>
  <si>
    <t>The four core checks, word for word (AO4 is not on KM1, KM2, KM5 or KM6)</t>
  </si>
  <si>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</si>
  <si>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</si>
  <si>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</si>
  <si>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</si>
  <si>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If
you're still having intense cravings while using gum, a pharmacist can check your technique
and whether adding a patch makes sense. You don't have to white-knuckle it.</t>
  </si>
  <si>
    <t>I can't pick a strength from "one disposable every 4-5 days." Those devices vary a lot in
nicotine, so two people with the same habit can be getting very different doses. Tell the
pharmacist the brand, the nicotine percent on the box, how soon after waking you usually hit
it, and that cold turkey lasted about 3 days.</t>
  </si>
  <si>
    <t>How to read a check (the same rules the grader follows)</t>
  </si>
  <si>
    <t>Judge only the reply. The chat is context; words that appear only in the chat, not in the reply, don't count.</t>
  </si>
  <si>
    <t>Examples after "such as", "for example" or "including" are only illustrations: the reply doesn't need to match any of them.</t>
  </si>
  <si>
    <t>Parts joined by "or" are alternatives: any one is enough. Parts joined by "and" must all hold.</t>
  </si>
  <si>
    <t>Did you end up getting the gum or a patch? What strength, and how often are you using it?</t>
  </si>
  <si>
    <t>4 · 4N37</t>
  </si>
  <si>
    <t>Notes on Dani's chat (optional): anything that doesn't sound like a real 21-year-old</t>
  </si>
  <si>
    <t>4 · LJRK</t>
  </si>
  <si>
    <t>Irritability and strong
cravings are common around day 3, when nicotine withdrawal is often at its worst. They
usually ease over the next couple of weeks.</t>
  </si>
  <si>
    <t>Key file sha256: 9a0a9a979846b8e40830765d174f2f2f22f482f3ea35301bd5340b020e3bffe4</t>
  </si>
  <si>
    <t>A slip doesn't erase the days you didn't vape, and it doesn't mean you're back at square one
unless you decide to stop trying.</t>
  </si>
  <si>
    <t>Almost buying one isn't the same as buying one. You got through that urge; now let's make
the next one less miserable.</t>
  </si>
  <si>
    <t>It's advice but it frames it like they have to do it so maybe no</t>
  </si>
  <si>
    <t>For tonight:
- When a craving hits, leave the room where vaping happens, set a 10-minute timer, and walk,
sip water, or chew regular gum while it passes.
- Skip caffeine late tonight, it can make feeling wired and irritable worse.
- Keep the roommate conversation short: "Sorry I snapped. Withdrawal's hitting hard, it's not
your fault. Please keep the vape out of sight and don't offer me any."</t>
  </si>
  <si>
    <t>When you go to the pharmacy counter, just tell the pharmacist: "I go through a 5% disposable
vape every 4-5 days, and I want to use the patch and the gum together to quit." They'll point
you to the exact right boxes.</t>
  </si>
  <si>
    <t>I don't think any actual advice was given. It just asked what the person wanted to do.</t>
  </si>
  <si>
    <t>6 · W9LF</t>
  </si>
  <si>
    <t>First, a quick but important caveat: I'm an AI, not a doctor or a pharmacist, so you should
absolutely ask the pharmacist this exact question when you buy them. They are experts at
this.
But to give you an idea of how it usually works:</t>
  </si>
  <si>
    <t>irritability and strong cravings don't mean
you're failing. They usually ease over the next couple of weeks, though cravings can pop up
longer. Almost buying one isn't the same as buying one.</t>
  </si>
  <si>
    <t>Slips are incredibly common, especially around drinking and parties.</t>
  </si>
  <si>
    <t>Using both at the same time is actually highly recommended for people who vape or smoke a
lot. It's called "combination therapy."</t>
  </si>
  <si>
    <t>If cravings are this intense, your nicotine-replacement
plan may need adjusting, not just more willpower. A pharmacist can help with that tomorrow.</t>
  </si>
  <si>
    <t>Let's look at the math for a second. Last spring you made it three days. This time you made it
almost two weeks before a slip. That is definitely not the same thing, that's actual proof you're
getting better at this.</t>
  </si>
  <si>
    <t>Were you able to get the gum, and what strength/how often are you using it? Did the
pharmacist recommend a patch too?</t>
  </si>
  <si>
    <t>Day 3 is
often near the peak of nicotine withdrawal, so irritability and strong cravings don't mean
you're failing. They usually ease over the next couple of weeks, though cravings can pop up
longer.</t>
  </si>
  <si>
    <t>Slips are incredibly common, especially around drinking and parties. We already knew that
was your unaddressed trigger, and when you're at a party and someone just hands you a vape,
muscle memory kicks in before your conscious brain even has time to say no. You're not bad
at this; you just hit a boss-level trigger without a plan for it.</t>
  </si>
  <si>
    <t>First, a quick but important caveat: I'm an AI, not a doctor or a pharmacist, so you should
absolutely ask the pharmacist this exact question when you buy them. They are experts at
this.</t>
  </si>
  <si>
    <t>For tonight:
- Make buying one harder: avoid the shop, and ask your roommate to keep their vape out of
sight and not offer it.
- Ride out one craving at a time: delay any purchase 10 minutes, change rooms, take a short
walk, or chew regular gum. Repeat as needed.
- If you're using nicotine gum: chew slowly until you feel a tingle, then "park" it between your
cheek and gum; repeat for about 30 minutes. Avoid food and drinks for 15 minutes before and
during use, and follow the package limits.
- A quick "Sorry I snapped, I'm having withdrawal, but it wasn't your fault" can help with your
roommate.</t>
  </si>
  <si>
    <t>5 · CELM</t>
  </si>
  <si>
    <t>5 · LLTP</t>
  </si>
  <si>
    <t>It doesn't erase the days you already did. You can restart today if you want to.</t>
  </si>
  <si>
    <t>7 · JVAN</t>
  </si>
  <si>
    <t>It doesn't mean the plan
isn't working, it means you're in the thick of it.</t>
  </si>
  <si>
    <t>That's a great step. I can give you the general rundown on how these work, but since I'm an
AI, you should definitely ask the pharmacist when you get there, they help people with this
exact math all the time.</t>
  </si>
  <si>
    <t>Not sure it's advice at all: It just asks what the user is planning on doing next. Throwing the vape away or not.</t>
  </si>
  <si>
    <t>step. I can give you the general rundown on how these work,</t>
  </si>
  <si>
    <t>You can just say "Hey, sorry I
snapped, nicotine withdrawal is making me crazy right now." They'll probably understand.)</t>
  </si>
  <si>
    <t>You actually can use both, and it's highly recommended. It's called "combination therapy."</t>
  </si>
  <si>
    <t>A party handoff plus drinking was the exact trigger you already knew was unplanned, and it
caught you before you'd decided what to do in that moment. Using all weekend after that is
really common too. Once the streak breaks, a lot of people treat the rest of the weekend as
already lost.</t>
  </si>
  <si>
    <t>Did you end up getting the gum from the pharmacy? If you did, are you using it when you get
these intense spikes of irritability?</t>
  </si>
  <si>
    <t>This isn't the same as last time. Last spring you made it three days; this time you got about
eleven before the slip. That gap matters, even if it doesn't feel like it right now.</t>
  </si>
  <si>
    <t>Day 3 is notoriously the hardest day. What you're feeling right now is the absolute peak of
physical nicotine withdrawal. Your brain is essentially throwing a tantrum because it's not
getting what it's used to, so being highly irritable is 100% normal.</t>
  </si>
  <si>
    <t>Actually, the fact that you almost bought one yesterday but didn't means the plan is working.
You just hit the exact 3-day mark that tripped you up last spring, but this time you made it
through the craving. That is a massive win, even if it feels miserable right now.</t>
  </si>
  <si>
    <t>6 · A3UL</t>
  </si>
  <si>
    <t>A slip doesn't erase the days you didn't vape, and it doesn't mean you're back at square one
unless you decide to stay there.</t>
  </si>
  <si>
    <t>6 · K9Y9</t>
  </si>
  <si>
    <t>Unsure because the reply is just saying you can talk to me whenever and the user didn't really say much</t>
  </si>
  <si>
    <t>8 · RJ4A</t>
  </si>
  <si>
    <t>Not sure it's advice at all: The model just asks are you ready to start again.</t>
  </si>
  <si>
    <t>It's incredibly common to slip up exactly the way you did.</t>
  </si>
  <si>
    <t>First off, you're not bad at this. You made it almost two full weeks! Last spring you made it
three days. That is literally measurable progress, and it proves you can actually do it.</t>
  </si>
  <si>
    <t>A few things that actually help in this window:</t>
  </si>
  <si>
    <t>Did you get the gum, and are you using it?</t>
  </si>
  <si>
    <t>We talked before about parties and drinking being a massive trigger, and this is exactly why.
When you're in that environment and your guard is down, the automatic habit just takes over
before you even realize it. It's incredibly common to slip up exactly the way you did.</t>
  </si>
  <si>
    <t>Yes, patches and gum can be used together.</t>
  </si>
  <si>
    <t>Three days is right in the worst of it. Irritability, snapping at people, and nearly buying one
are textbook withdrawal, not a sign the plan failed. You already outlasted your last attempt.</t>
  </si>
  <si>
    <t>7 · XWPF</t>
  </si>
  <si>
    <t>A few things that actually help in this window:
- Use the gum on a schedule for the next couple of days, not only when a craving hits. Waiting
until you're desperate makes it feel like it doesn't work.
- Cravings usually peak and fade in about 10 to 20 minutes. A short walk, cold water, or
leaving the room often gets you through one.
- Tell your roommate you're irritable from quitting so a snap doesn't turn into a fight. That
keeps the room plan intact.</t>
  </si>
  <si>
    <t>That sounds discouraging, especially after getting through those first rough days. But this
doesn't mean you're bad at quitting.</t>
  </si>
  <si>
    <t>9 · 4TCP</t>
  </si>
  <si>
    <t>Feeling incredibly irritable and snapping at people isn't a sign that the plan
is failing, it's a sign that you're right in the thick of the hardest part.</t>
  </si>
  <si>
    <t>7 · VPTF</t>
  </si>
  <si>
    <t>It's advice but  maybe no because it doesn't frame it in a take it or leave it way</t>
  </si>
  <si>
    <t>Bring the vape packaging or a photo of its label, and
tell them how soon after waking you vape and whether you use it overnight.</t>
  </si>
  <si>
    <t>(Also, it might be worth giving your roommate a quick "hey, sorry I snapped, the nicotine
withdrawal is kicking my ass" text, they'll probably get it!)</t>
  </si>
  <si>
    <t>You went almost two weeks without vaping, that progress
and what you learned still count.</t>
  </si>
  <si>
    <t>Did you end up getting the nicotine gum from the pharmacy? If you did, are you using it when
these spikes happen?</t>
  </si>
  <si>
    <t>Yes, patches and nicotine gum can be used together.</t>
  </si>
  <si>
    <t>The party situation caught you without a plan. We'd left that part for later; now we know it
needs attention, not that you need more willpower.</t>
  </si>
  <si>
    <t>Day 3 is notoriously the absolute hardest day of nicotine withdrawal. Your body is completely
cleared of the chemical, and your brain is essentially throwing a temper tantrum because it
wants its usual fix.</t>
  </si>
  <si>
    <t>Also, look at what you just said: you almost bought one yesterday. That means you didn't. You
fought off a massive craving on one of the hardest days. That is a huge win, even if it feels
terrible right now.</t>
  </si>
  <si>
    <t>8 · YULJ</t>
  </si>
  <si>
    <t>That's a slip, not proof you're bad at this.</t>
  </si>
  <si>
    <t>1 · DJNN</t>
  </si>
  <si>
    <t>If you want to get back on it, the useful question is just what you'd do differently the next time
someone hands you one.</t>
  </si>
  <si>
    <t>8 · AFUD</t>
  </si>
  <si>
    <t>Most people need more than one try before it sticks.</t>
  </si>
  <si>
    <t>MS-LAPSE</t>
  </si>
  <si>
    <t>You went about two weeks, which is already longer
than the three days last spring,</t>
  </si>
  <si>
    <t>and it happened in exactly the situation you flagged ahead of
time: a party, drinking, someone handing you one. That's a trigger doing what triggers do, not
a character flaw.</t>
  </si>
  <si>
    <t>If quitting
is still what you want, you don't have to wait for another Monday: keep the helpful texts, and
ask the pharmacist about a patch if the gum hasn't been workable. Nicotine replacement can
cause dependence, but it delivers nicotine more slowly, avoids inhaling aerosol, and is
generally easier to taper than vaping.</t>
  </si>
  <si>
    <t>On disposables: advertised puff counts aren't a reliable measure of how long one will last, that
depends on battery life, liquid volume, and how you use it. A bigger one also means more
nicotine sitting within reach, not necessarily less spending over time.</t>
  </si>
  <si>
    <t>MS-LAPSE-C1
(describes something good)</t>
  </si>
  <si>
    <t>Says the slip does not mean her quit is over, or that she can stop again right away if she chooses to.</t>
  </si>
  <si>
    <t>Friday doesn't erase the days you went without it. Nicotine dependence can take several
attempts to break; this isn't proof you can't quit.</t>
  </si>
  <si>
    <t>9 · NFQW</t>
  </si>
  <si>
    <t>MS-LAPSE-C1</t>
  </si>
  <si>
    <t>Yes, patches and nicotine gum can be used together. That's a common approach:</t>
  </si>
  <si>
    <t>MS-LAPSE-C2
(describes something bad)</t>
  </si>
  <si>
    <t>Says or implies that her quit is over, that she might as well keep vaping now, or that she is back at zero.</t>
  </si>
  <si>
    <t>First off, you aren't bad at this.</t>
  </si>
  <si>
    <t>MS-LAPSE-C2</t>
  </si>
  <si>
    <t>MS-LAPSE-C3
(describes something good)</t>
  </si>
  <si>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</si>
  <si>
    <t>Do you actually want to change the goal, or are you mostly discouraged by Friday? Either
answer is okay.</t>
  </si>
  <si>
    <t>MS-LAPSE-C3</t>
  </si>
  <si>
    <t>MS-LAPSE-C4
(describes something bad)</t>
  </si>
  <si>
    <t>Replaces her goal of quitting with a goal she has not chosen, such as cutting down or quitting later. Asking her which she wants does not count.</t>
  </si>
  <si>
    <t>doesn't apply: the reply gives no advice</t>
  </si>
  <si>
    <t>MS-LAPSE-C4</t>
  </si>
  <si>
    <t>Disposables vary
hugely in size and nicotine content, and cigarette-based dosing charts don't translate neatly.
Bring the vape or a photo of its label and tell the pharmacist:</t>
  </si>
  <si>
    <t>unsure</t>
  </si>
  <si>
    <t>I don't think this is advice it's just asking what the person wants to do: The difference between a slip and a full relapse is just what you do next. How are you feeling
about the disposable you bought? Do you want to toss it and get right back on the plan, or
where is your head at right now?</t>
  </si>
  <si>
    <t>2 · 93FU</t>
  </si>
  <si>
    <t>Slips are incredibly common, especially when you're drinking
and your guard is down. Muscle memory just takes over.</t>
  </si>
  <si>
    <t>you. In the U.S., these are approved for quitting smoking; using
them to quit vaping is off-label, so individualized guidance helps.</t>
  </si>
  <si>
    <t>A slip at a party doesn't erase the three days or the plan you already built, and it doesn't mean
you're back where you were last spring.</t>
  </si>
  <si>
    <t>Look at the big picture: last spring you made it three days. This time you made it almost two
full weeks. That isn't failing, that's a massive improvement and proof that you actually can do
it.</t>
  </si>
  <si>
    <t>Also, remember when we made the plan? You specifically said parties and drinking were a
huge trigger, but we decided to put off dealing with them because you weren't planning to go
out. Well, you went out, the exact trigger you predicted was there, and it tripped you up.
That's just new data for next time.</t>
  </si>
  <si>
    <t>If you want to restart from here, the same pieces still apply: the gum, the texts,
and keeping it out of your room.</t>
  </si>
  <si>
    <t>9 · RU4T</t>
  </si>
  <si>
    <t>For daily use like yours, most people do better with both, not one or the other.</t>
  </si>
  <si>
    <t>3 · Q37D</t>
  </si>
  <si>
    <t>I want to talk about what just
happened. I hear how frustrated you are, and it makes total sense that you'd feel like you're
just "back on it."</t>
  </si>
  <si>
    <t>But if or when you do want to try again, you now know you
can make it through the initial withdrawals, and you know exactly which trigger to plan for
next time.</t>
  </si>
  <si>
    <t>You slipped up at a party, which you specifically identified on day one as a major trigger that
we hadn't made a plan for yet. That doesn't erase the two weeks you went without it, and it
doesn't mean you're back at zero. It just means parties are exactly as tough as you predicted.</t>
  </si>
  <si>
    <t>If you want to just vape for a while and not think about quitting, that is completely your call
and there is zero judgment here.</t>
  </si>
  <si>
    <t>But let's look at the actual timeline: you made it almost two weeks this time. Last spring, you
made it three days. That is a massive difference, and it proves that your plan was actually
working for your day-to-day routine.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</si>
</sst>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b/>
      <color rgb="FFFFFFFF"/>
      <name val="Calibri"/>
      <scheme val="minor"/>
    </font>
    <font>
      <sz val="11.0"/>
      <color theme="1"/>
      <name val="Calibri"/>
    </font>
    <font>
      <b/>
      <sz val="13.0"/>
      <color theme="1"/>
      <name val="Calibri"/>
      <scheme val="minor"/>
    </font>
    <font>
      <b/>
      <color theme="1"/>
      <name val="Calibri"/>
      <scheme val="minor"/>
    </font>
    <font>
      <color theme="1"/>
      <name val="Calibri"/>
      <scheme val="minor"/>
    </font>
    <font>
      <sz val="8.0"/>
      <color rgb="FF888888"/>
      <name val="Calibri"/>
      <scheme val="minor"/>
    </font>
  </fonts>
  <fills count="6">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
      <patternFill patternType="solid">
        <fgColor rgb="FFFFF2B3"/>
        <bgColor rgb="FFFFF2B3"/>
      </patternFill>
    </fill>
  </fills>
  <borders count="3">
    <border/>
    <border>
      <left/>
      <right/>
      <top/>
      <bottom/>
    </border>
    <border>
      <top style="medium">
        <color rgb="FF333333"/>
      </top>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3" fontId="5" numFmtId="0" xfId="0" applyAlignment="1" applyBorder="1" applyFill="1" applyFont="1">
      <alignment shrinkToFit="0" vertical="top" wrapText="1"/>
    </xf>
    <xf borderId="0" fillId="0" fontId="3" numFmtId="0" xfId="0" applyAlignment="1" applyFont="1">
      <alignment readingOrder="0" shrinkToFit="0" vertical="top" wrapText="1"/>
    </xf>
    <xf borderId="2" fillId="3" fontId="3" numFmtId="0" xfId="0" applyAlignment="1" applyBorder="1" applyFill="1" applyFont="1">
      <alignment shrinkToFit="0" vertical="top" wrapText="1"/>
    </xf>
    <xf borderId="1" fillId="4" fontId="5" numFmtId="0" xfId="0" applyAlignment="1" applyBorder="1" applyFill="1" applyFont="1">
      <alignment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6" numFmtId="0" xfId="0" applyFont="1"/>
    <xf borderId="1" fillId="3" fontId="3"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0" fillId="0" fontId="5" numFmtId="0" xfId="0" applyAlignment="1" applyFont="1">
      <alignment shrinkToFit="0" vertical="top" wrapText="1"/>
    </xf>
    <xf borderId="1" fillId="5" fontId="3" numFmtId="18" xfId="0" applyAlignment="1" applyBorder="1" applyFill="1" applyFont="1" applyNumberFormat="1">
      <alignment readingOrder="0"/>
    </xf>
    <xf borderId="1" fillId="5" fontId="3" numFmtId="18" xfId="0" applyBorder="1" applyFill="1" applyFont="1" applyNumberFormat="1"/>
    <xf borderId="0" fillId="0" fontId="7" numFmtId="0" xfId="0" applyAlignment="1" applyFont="1">
      <alignment shrinkToFit="0" vertical="top" wrapText="1"/>
    </xf>
    <xf borderId="0" fillId="0" fontId="6" numFmtId="0" xfId="0" applyAlignment="1" applyFont="1">
      <alignment readingOrder="0"/>
    </xf>
    <xf borderId="2" fillId="3" fontId="3" numFmtId="0" xfId="0" applyAlignment="1" applyBorder="1" applyFill="1" applyFont="1">
      <alignment readingOrder="0" shrinkToFit="0" vertical="top" wrapText="1"/>
    </xf>
  </cellXfs>
  <cellStyles count="1">
    <cellStyle xfId="0" name="Normal" builtinId="0"/>
  </cellStyles>
  <dxfs count="2">
    <dxf>
      <font/>
      <fill>
        <patternFill patternType="solid">
          <fgColor rgb="FFF8C9C4"/>
          <bgColor rgb="FFF8C9C4"/>
        </patternFill>
      </fill>
      <border/>
    </dxf>
    <dxf>
      <font/>
      <fill>
        <patternFill patternType="solid">
          <fgColor rgb="FFFFF2B3"/>
          <bgColor rgb="FFFFF2B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
    <col customWidth="1" min="3" max="3" width="9.0"/>
    <col customWidth="1" min="4" max="5" width="14.0"/>
    <col customWidth="1" min="6" max="7" width="16.0"/>
    <col customWidth="1" min="8" max="8" width="12.0"/>
    <col customWidth="1" min="9" max="26" width="8.71"/>
  </cols>
  <sheetData>
    <row r="1" ht="30.0" customHeight="1">
      <c r="A1" s="1" t="s">
        <v>0</v>
      </c>
    </row>
    <row r="2" ht="48.0" customHeight="1">
      <c r="A2" s="3" t="s">
        <v>2</v>
      </c>
    </row>
    <row r="4">
      <c r="A4" s="4" t="s">
        <v>7</v>
      </c>
    </row>
    <row r="5" ht="31.5" customHeight="1">
      <c r="A5" s="3" t="s">
        <v>10</v>
      </c>
    </row>
    <row r="6" ht="31.5" customHeight="1">
      <c r="A6" s="3" t="s">
        <v>13</v>
      </c>
    </row>
    <row r="7" ht="31.5" customHeight="1">
      <c r="A7" s="3" t="s">
        <v>15</v>
      </c>
    </row>
    <row r="8" ht="31.5" customHeight="1">
      <c r="A8" s="3" t="s">
        <v>18</v>
      </c>
    </row>
    <row r="9" ht="31.5" customHeight="1">
      <c r="A9" s="3" t="s">
        <v>20</v>
      </c>
    </row>
    <row r="10" ht="31.5" customHeight="1">
      <c r="A10" s="3" t="s">
        <v>21</v>
      </c>
    </row>
    <row r="11" ht="31.5" customHeight="1">
      <c r="A11" s="3" t="s">
        <v>22</v>
      </c>
    </row>
    <row r="12" ht="31.5" customHeight="1">
      <c r="A12" s="6" t="s">
        <v>23</v>
      </c>
    </row>
    <row r="13" ht="31.5" customHeight="1">
      <c r="A13" s="3" t="s">
        <v>26</v>
      </c>
    </row>
    <row r="14" ht="31.5" customHeight="1">
      <c r="A14" s="3" t="s">
        <v>28</v>
      </c>
    </row>
    <row r="16" ht="60.0" customHeight="1">
      <c r="A16" s="8" t="s">
        <v>30</v>
      </c>
      <c r="B16" s="8" t="s">
        <v>33</v>
      </c>
      <c r="C16" s="8" t="s">
        <v>34</v>
      </c>
      <c r="D16" s="8" t="s">
        <v>36</v>
      </c>
      <c r="E16" s="8" t="s">
        <v>37</v>
      </c>
      <c r="F16" s="8" t="s">
        <v>38</v>
      </c>
      <c r="G16" s="8" t="s">
        <v>39</v>
      </c>
      <c r="H16" s="8" t="s">
        <v>40</v>
      </c>
    </row>
    <row r="17">
      <c r="A17" s="3" t="s">
        <v>42</v>
      </c>
      <c r="B17" s="3">
        <v>9.0</v>
      </c>
      <c r="C17" s="3">
        <v>90.0</v>
      </c>
      <c r="D17" s="3">
        <f>IF($H17="skipped","skipped",COUNTBLANK('1 KM4'!E2:E91))</f>
        <v>0</v>
      </c>
      <c r="E17" s="3">
        <f>IF($H17="skipped","skipped",COUNTIFS('1 KM4'!E2:E91,"yes",'1 KM4'!F2:F91,""))</f>
        <v>1</v>
      </c>
      <c r="F17" s="3">
        <f>IF($H17="skipped","skipped",COUNTIFS('1 KM4'!G2:G91,"unsure",'1 KM4'!H2:H91,"")+COUNTIFS('1 KM4'!E2:E91,"doesn't apply*",'1 KM4'!H2:H91,"")-COUNTIFS('1 KM4'!G2:G91,"unsure",'1 KM4'!E2:E91,"doesn't apply*",'1 KM4'!H2:H91,""))</f>
        <v>0</v>
      </c>
      <c r="G17" s="3">
        <f>IF($H17="skipped","skipped",COUNTIFS('1 KM4'!F2:F91,"&lt;&gt;",'1 KM4'!E2:E91,"&lt;&gt;yes"))</f>
        <v>0</v>
      </c>
      <c r="H17" s="3"/>
    </row>
    <row r="18">
      <c r="A18" s="3" t="s">
        <v>118</v>
      </c>
      <c r="B18" s="3">
        <v>9.0</v>
      </c>
      <c r="C18" s="3">
        <v>72.0</v>
      </c>
      <c r="D18" s="3">
        <f>IF($H18="skipped","skipped",COUNTBLANK('2 KM5'!E2:E73))</f>
        <v>0</v>
      </c>
      <c r="E18" s="3">
        <f>IF($H18="skipped","skipped",COUNTIFS('2 KM5'!E2:E73,"yes",'2 KM5'!F2:F73,""))</f>
        <v>0</v>
      </c>
      <c r="F18" s="3">
        <f>IF($H18="skipped","skipped",COUNTIFS('2 KM5'!G2:G73,"unsure",'2 KM5'!H2:H73,"")+COUNTIFS('2 KM5'!E2:E73,"doesn't apply*",'2 KM5'!H2:H73,"")-COUNTIFS('2 KM5'!G2:G73,"unsure",'2 KM5'!E2:E73,"doesn't apply*",'2 KM5'!H2:H73,""))</f>
        <v>0</v>
      </c>
      <c r="G18" s="3">
        <f>IF($H18="skipped","skipped",COUNTIFS('2 KM5'!F2:F73,"&lt;&gt;",'2 KM5'!E2:E73,"&lt;&gt;yes"))</f>
        <v>0</v>
      </c>
      <c r="H18" s="3"/>
    </row>
    <row r="19">
      <c r="A19" s="3" t="s">
        <v>133</v>
      </c>
      <c r="B19" s="3">
        <v>9.0</v>
      </c>
      <c r="C19" s="3">
        <v>72.0</v>
      </c>
      <c r="D19" s="3">
        <f>IF($H19="skipped","skipped",COUNTBLANK('3 KM6'!E2:E73))</f>
        <v>0</v>
      </c>
      <c r="E19" s="3">
        <f>IF($H19="skipped","skipped",COUNTIFS('3 KM6'!E2:E73,"yes",'3 KM6'!F2:F73,""))</f>
        <v>0</v>
      </c>
      <c r="F19" s="3">
        <f>IF($H19="skipped","skipped",COUNTIFS('3 KM6'!G2:G73,"unsure",'3 KM6'!H2:H73,"")+COUNTIFS('3 KM6'!E2:E73,"doesn't apply*",'3 KM6'!H2:H73,"")-COUNTIFS('3 KM6'!G2:G73,"unsure",'3 KM6'!E2:E73,"doesn't apply*",'3 KM6'!H2:H73,""))</f>
        <v>0</v>
      </c>
      <c r="G19" s="3">
        <f>IF($H19="skipped","skipped",COUNTIFS('3 KM6'!F2:F73,"&lt;&gt;",'3 KM6'!E2:E73,"&lt;&gt;yes"))</f>
        <v>0</v>
      </c>
      <c r="H19" s="3"/>
    </row>
    <row r="20">
      <c r="A20" s="3" t="s">
        <v>140</v>
      </c>
      <c r="B20" s="3">
        <v>3.0</v>
      </c>
      <c r="C20" s="3">
        <v>27.0</v>
      </c>
      <c r="D20" s="3">
        <f>IF($H20="skipped","skipped",COUNTBLANK('4 MS-LAPSE'!E2:E28))</f>
        <v>0</v>
      </c>
      <c r="E20" s="3">
        <f>IF($H20="skipped","skipped",COUNTIFS('4 MS-LAPSE'!E2:E28,"yes",'4 MS-LAPSE'!F2:F28,""))</f>
        <v>0</v>
      </c>
      <c r="F20" s="3">
        <f>IF($H20="skipped","skipped",COUNTIFS('4 MS-LAPSE'!G2:G28,"unsure",'4 MS-LAPSE'!H2:H28,"")+COUNTIFS('4 MS-LAPSE'!E2:E28,"doesn't apply*",'4 MS-LAPSE'!H2:H28,"")-COUNTIFS('4 MS-LAPSE'!G2:G28,"unsure",'4 MS-LAPSE'!E2:E28,"doesn't apply*",'4 MS-LAPSE'!H2:H28,""))</f>
        <v>0</v>
      </c>
      <c r="G20" s="3">
        <f>IF($H20="skipped","skipped",COUNTIFS('4 MS-LAPSE'!F2:F28,"&lt;&gt;",'4 MS-LAPSE'!E2:E28,"&lt;&gt;yes"))</f>
        <v>0</v>
      </c>
      <c r="H20" s="3"/>
    </row>
    <row r="21" ht="15.75" customHeight="1">
      <c r="A21" s="14" t="s">
        <v>148</v>
      </c>
      <c r="B21" s="14">
        <v>30.0</v>
      </c>
      <c r="C21" s="14">
        <v>261.0</v>
      </c>
    </row>
    <row r="22" ht="15.75" customHeight="1"/>
    <row r="23" ht="15.75" customHeight="1">
      <c r="A23" s="14" t="s">
        <v>151</v>
      </c>
      <c r="B23" s="15">
        <v>0.6388888888888888</v>
      </c>
    </row>
    <row r="24" ht="15.75" customHeight="1">
      <c r="A24" s="14" t="s">
        <v>154</v>
      </c>
      <c r="B24" s="16"/>
    </row>
    <row r="25" ht="30.0" customHeight="1">
      <c r="A25" s="14" t="s">
        <v>155</v>
      </c>
      <c r="B25" s="11" t="str">
        <f>IF(OR(B23="",B24=""),"",ROUND(MOD(B24-B23,1)*24*261/98,1))</f>
        <v/>
      </c>
    </row>
    <row r="26" ht="15.75" customHeight="1"/>
    <row r="27" ht="15.75" customHeight="1">
      <c r="A27" s="4" t="s">
        <v>160</v>
      </c>
    </row>
    <row r="28" ht="152.25" customHeight="1">
      <c r="A28" s="3" t="s">
        <v>161</v>
      </c>
    </row>
    <row r="29" ht="152.25" customHeight="1">
      <c r="A29" s="3" t="s">
        <v>162</v>
      </c>
    </row>
    <row r="30" ht="269.25" customHeight="1">
      <c r="A30" s="3" t="s">
        <v>163</v>
      </c>
    </row>
    <row r="31" ht="147.0" customHeight="1">
      <c r="A31" s="3" t="s">
        <v>164</v>
      </c>
    </row>
    <row r="32" ht="15.75" customHeight="1"/>
    <row r="33" ht="15.75" customHeight="1">
      <c r="A33" s="4" t="s">
        <v>167</v>
      </c>
    </row>
    <row r="34" ht="30.0" customHeight="1">
      <c r="A34" s="3" t="s">
        <v>168</v>
      </c>
    </row>
    <row r="35" ht="30.0" customHeight="1">
      <c r="A35" s="3" t="s">
        <v>169</v>
      </c>
    </row>
    <row r="36" ht="30.0" customHeight="1">
      <c r="A36" s="3" t="s">
        <v>170</v>
      </c>
    </row>
    <row r="37" ht="15.75" customHeight="1"/>
    <row r="38" ht="15.75" customHeight="1">
      <c r="A38" s="4" t="s">
        <v>173</v>
      </c>
    </row>
    <row r="39" ht="30.0" customHeight="1">
      <c r="A39" s="3" t="s">
        <v>42</v>
      </c>
    </row>
    <row r="40" ht="30.0" customHeight="1">
      <c r="A40" s="3" t="s">
        <v>118</v>
      </c>
    </row>
    <row r="41" ht="30.0" customHeight="1">
      <c r="A41" s="3" t="s">
        <v>133</v>
      </c>
    </row>
    <row r="42" ht="30.0" customHeight="1">
      <c r="A42" s="3" t="s">
        <v>140</v>
      </c>
    </row>
    <row r="43" ht="15.75" customHeight="1"/>
    <row r="44" ht="15.75" customHeight="1">
      <c r="A44" s="17" t="s">
        <v>176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H2"/>
    <mergeCell ref="A5:H5"/>
    <mergeCell ref="A6:H6"/>
    <mergeCell ref="A7:H7"/>
    <mergeCell ref="A8:H8"/>
    <mergeCell ref="A9:H9"/>
    <mergeCell ref="A10:H10"/>
    <mergeCell ref="A11:H11"/>
    <mergeCell ref="A12:H12"/>
    <mergeCell ref="A13:H13"/>
    <mergeCell ref="A14:H14"/>
    <mergeCell ref="A28:H28"/>
    <mergeCell ref="A29:H29"/>
    <mergeCell ref="A30:H30"/>
    <mergeCell ref="B42:H42"/>
    <mergeCell ref="A44:H44"/>
    <mergeCell ref="A31:H31"/>
    <mergeCell ref="A34:H34"/>
    <mergeCell ref="A35:H35"/>
    <mergeCell ref="A36:H36"/>
    <mergeCell ref="B39:H39"/>
    <mergeCell ref="B40:H40"/>
    <mergeCell ref="B41:H4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2" t="s">
        <v>1</v>
      </c>
      <c r="B1" s="2" t="s">
        <v>3</v>
      </c>
      <c r="C1" s="2" t="s">
        <v>4</v>
      </c>
      <c r="D1" s="2" t="s">
        <v>5</v>
      </c>
      <c r="E1" s="2" t="s">
        <v>6</v>
      </c>
      <c r="F1" s="2" t="s">
        <v>8</v>
      </c>
      <c r="G1" s="2" t="s">
        <v>9</v>
      </c>
      <c r="H1" s="2" t="s">
        <v>11</v>
      </c>
      <c r="I1" s="2" t="s">
        <v>12</v>
      </c>
      <c r="J1" s="2" t="s">
        <v>14</v>
      </c>
      <c r="K1" s="2" t="s">
        <v>16</v>
      </c>
      <c r="L1" s="2" t="s">
        <v>17</v>
      </c>
    </row>
    <row r="2" ht="168.75" customHeight="1">
      <c r="A2" s="5" t="s">
        <v>25</v>
      </c>
      <c r="B2" s="7" t="s">
        <v>24</v>
      </c>
      <c r="C2" s="7" t="s">
        <v>27</v>
      </c>
      <c r="D2" s="7" t="s">
        <v>29</v>
      </c>
      <c r="E2" s="9" t="s">
        <v>29</v>
      </c>
      <c r="F2" s="10"/>
      <c r="G2" s="10"/>
      <c r="H2" s="10"/>
      <c r="I2" s="11" t="s">
        <v>43</v>
      </c>
      <c r="J2" s="11" t="s">
        <v>44</v>
      </c>
      <c r="K2" s="11">
        <v>0.1</v>
      </c>
      <c r="L2" s="11" t="s">
        <v>46</v>
      </c>
    </row>
    <row r="3" ht="169.5" customHeight="1">
      <c r="A3" s="12" t="s">
        <v>25</v>
      </c>
      <c r="B3" s="12" t="s">
        <v>48</v>
      </c>
      <c r="C3" s="12" t="s">
        <v>49</v>
      </c>
      <c r="D3" s="12" t="s">
        <v>29</v>
      </c>
      <c r="E3" s="6" t="s">
        <v>29</v>
      </c>
      <c r="F3" s="3"/>
      <c r="G3" s="3"/>
      <c r="H3" s="3"/>
      <c r="I3" s="11" t="s">
        <v>43</v>
      </c>
      <c r="J3" s="11" t="s">
        <v>50</v>
      </c>
      <c r="K3" s="11">
        <v>0.1</v>
      </c>
      <c r="L3" s="11" t="s">
        <v>46</v>
      </c>
    </row>
    <row r="4" ht="337.5" customHeight="1">
      <c r="A4" s="12" t="s">
        <v>25</v>
      </c>
      <c r="B4" s="12" t="s">
        <v>51</v>
      </c>
      <c r="C4" s="12" t="s">
        <v>52</v>
      </c>
      <c r="D4" s="12" t="s">
        <v>53</v>
      </c>
      <c r="E4" s="6" t="s">
        <v>31</v>
      </c>
      <c r="F4" s="6" t="s">
        <v>54</v>
      </c>
      <c r="H4" s="3"/>
      <c r="I4" s="11" t="s">
        <v>43</v>
      </c>
      <c r="J4" s="11" t="s">
        <v>55</v>
      </c>
      <c r="K4" s="11">
        <v>0.1</v>
      </c>
      <c r="L4" s="11" t="s">
        <v>46</v>
      </c>
    </row>
    <row r="5" ht="180.75" customHeight="1">
      <c r="A5" s="12" t="s">
        <v>25</v>
      </c>
      <c r="B5" s="12" t="s">
        <v>57</v>
      </c>
      <c r="C5" s="12" t="s">
        <v>58</v>
      </c>
      <c r="D5" s="12" t="s">
        <v>29</v>
      </c>
      <c r="E5" s="6" t="s">
        <v>31</v>
      </c>
      <c r="F5" s="6" t="s">
        <v>61</v>
      </c>
      <c r="G5" s="3"/>
      <c r="H5" s="3"/>
      <c r="I5" s="11" t="s">
        <v>43</v>
      </c>
      <c r="J5" s="11" t="s">
        <v>63</v>
      </c>
      <c r="K5" s="11">
        <v>0.1</v>
      </c>
      <c r="L5" s="11" t="s">
        <v>46</v>
      </c>
    </row>
    <row r="6" ht="56.25" customHeight="1">
      <c r="A6" s="12" t="s">
        <v>25</v>
      </c>
      <c r="B6" s="12" t="s">
        <v>65</v>
      </c>
      <c r="C6" s="12" t="s">
        <v>66</v>
      </c>
      <c r="D6" s="12" t="s">
        <v>29</v>
      </c>
      <c r="E6" s="6" t="s">
        <v>31</v>
      </c>
      <c r="F6" s="6" t="s">
        <v>61</v>
      </c>
      <c r="G6" s="3"/>
      <c r="H6" s="3"/>
      <c r="I6" s="11" t="s">
        <v>43</v>
      </c>
      <c r="J6" s="11" t="s">
        <v>70</v>
      </c>
      <c r="K6" s="11">
        <v>0.1</v>
      </c>
      <c r="L6" s="11" t="s">
        <v>46</v>
      </c>
    </row>
    <row r="7" ht="59.25" customHeight="1">
      <c r="A7" s="12" t="s">
        <v>25</v>
      </c>
      <c r="B7" s="12" t="s">
        <v>72</v>
      </c>
      <c r="C7" s="12" t="s">
        <v>73</v>
      </c>
      <c r="D7" s="13" t="s">
        <v>75</v>
      </c>
      <c r="E7" s="6" t="s">
        <v>31</v>
      </c>
      <c r="F7" s="3"/>
      <c r="G7" s="3"/>
      <c r="H7" s="3"/>
      <c r="I7" s="11" t="s">
        <v>43</v>
      </c>
      <c r="J7" s="11" t="s">
        <v>81</v>
      </c>
      <c r="K7" s="11">
        <v>0.1</v>
      </c>
      <c r="L7" s="11" t="s">
        <v>46</v>
      </c>
    </row>
    <row r="8" ht="45.0" customHeight="1">
      <c r="A8" s="12" t="s">
        <v>25</v>
      </c>
      <c r="B8" s="12" t="s">
        <v>84</v>
      </c>
      <c r="C8" s="12" t="s">
        <v>85</v>
      </c>
      <c r="D8" s="12" t="s">
        <v>29</v>
      </c>
      <c r="E8" s="6" t="s">
        <v>29</v>
      </c>
      <c r="F8" s="3"/>
      <c r="G8" s="3"/>
      <c r="H8" s="3"/>
      <c r="I8" s="11" t="s">
        <v>43</v>
      </c>
      <c r="J8" s="11" t="s">
        <v>89</v>
      </c>
      <c r="K8" s="11">
        <v>0.1</v>
      </c>
      <c r="L8" s="11" t="s">
        <v>46</v>
      </c>
    </row>
    <row r="9" ht="45.0" customHeight="1">
      <c r="A9" s="12" t="s">
        <v>25</v>
      </c>
      <c r="B9" s="12" t="s">
        <v>93</v>
      </c>
      <c r="C9" s="12" t="s">
        <v>94</v>
      </c>
      <c r="D9" s="12" t="s">
        <v>29</v>
      </c>
      <c r="E9" s="6" t="s">
        <v>29</v>
      </c>
      <c r="F9" s="3"/>
      <c r="G9" s="3"/>
      <c r="H9" s="3"/>
      <c r="I9" s="11" t="s">
        <v>43</v>
      </c>
      <c r="J9" s="11" t="s">
        <v>98</v>
      </c>
      <c r="K9" s="11">
        <v>0.1</v>
      </c>
      <c r="L9" s="11" t="s">
        <v>46</v>
      </c>
    </row>
    <row r="10" ht="45.0" customHeight="1">
      <c r="A10" s="12" t="s">
        <v>25</v>
      </c>
      <c r="B10" s="12" t="s">
        <v>101</v>
      </c>
      <c r="C10" s="12" t="s">
        <v>102</v>
      </c>
      <c r="D10" s="13" t="s">
        <v>103</v>
      </c>
      <c r="E10" s="6" t="s">
        <v>29</v>
      </c>
      <c r="F10" s="3"/>
      <c r="G10" s="3"/>
      <c r="H10" s="3"/>
      <c r="I10" s="11" t="s">
        <v>43</v>
      </c>
      <c r="J10" s="11" t="s">
        <v>107</v>
      </c>
      <c r="K10" s="11">
        <v>0.1</v>
      </c>
      <c r="L10" s="11" t="s">
        <v>46</v>
      </c>
    </row>
    <row r="11" ht="45.0" customHeight="1">
      <c r="A11" s="12" t="s">
        <v>25</v>
      </c>
      <c r="B11" s="12" t="s">
        <v>109</v>
      </c>
      <c r="C11" s="12" t="s">
        <v>110</v>
      </c>
      <c r="D11" s="12" t="s">
        <v>29</v>
      </c>
      <c r="E11" s="6" t="s">
        <v>31</v>
      </c>
      <c r="F11" s="6" t="s">
        <v>54</v>
      </c>
      <c r="G11" s="3"/>
      <c r="H11" s="3"/>
      <c r="I11" s="11" t="s">
        <v>43</v>
      </c>
      <c r="J11" s="11" t="s">
        <v>114</v>
      </c>
      <c r="K11" s="11">
        <v>0.1</v>
      </c>
      <c r="L11" s="11" t="s">
        <v>46</v>
      </c>
    </row>
    <row r="12" ht="168.75" customHeight="1">
      <c r="A12" s="5" t="s">
        <v>116</v>
      </c>
      <c r="B12" s="7" t="s">
        <v>24</v>
      </c>
      <c r="C12" s="7" t="s">
        <v>27</v>
      </c>
      <c r="D12" s="7" t="s">
        <v>29</v>
      </c>
      <c r="E12" s="9" t="s">
        <v>29</v>
      </c>
      <c r="F12" s="9"/>
      <c r="G12" s="10"/>
      <c r="H12" s="10"/>
      <c r="I12" s="11" t="s">
        <v>43</v>
      </c>
      <c r="J12" s="11" t="s">
        <v>44</v>
      </c>
      <c r="K12" s="11">
        <v>0.1</v>
      </c>
      <c r="L12" s="11" t="s">
        <v>46</v>
      </c>
    </row>
    <row r="13" ht="169.5" customHeight="1">
      <c r="A13" s="12" t="s">
        <v>116</v>
      </c>
      <c r="B13" s="12" t="s">
        <v>48</v>
      </c>
      <c r="C13" s="12" t="s">
        <v>49</v>
      </c>
      <c r="D13" s="12" t="s">
        <v>29</v>
      </c>
      <c r="E13" s="6" t="s">
        <v>29</v>
      </c>
      <c r="F13" s="3"/>
      <c r="G13" s="3"/>
      <c r="H13" s="3"/>
      <c r="I13" s="11" t="s">
        <v>43</v>
      </c>
      <c r="J13" s="11" t="s">
        <v>50</v>
      </c>
      <c r="K13" s="11">
        <v>0.1</v>
      </c>
      <c r="L13" s="11" t="s">
        <v>46</v>
      </c>
    </row>
    <row r="14" ht="337.5" customHeight="1">
      <c r="A14" s="12" t="s">
        <v>116</v>
      </c>
      <c r="B14" s="12" t="s">
        <v>51</v>
      </c>
      <c r="C14" s="12" t="s">
        <v>52</v>
      </c>
      <c r="D14" s="12" t="s">
        <v>53</v>
      </c>
      <c r="E14" s="6" t="s">
        <v>31</v>
      </c>
      <c r="F14" s="6" t="s">
        <v>123</v>
      </c>
      <c r="G14" s="3"/>
      <c r="H14" s="3"/>
      <c r="I14" s="11" t="s">
        <v>43</v>
      </c>
      <c r="J14" s="11" t="s">
        <v>55</v>
      </c>
      <c r="K14" s="11">
        <v>0.1</v>
      </c>
      <c r="L14" s="11" t="s">
        <v>46</v>
      </c>
    </row>
    <row r="15" ht="180.75" customHeight="1">
      <c r="A15" s="12" t="s">
        <v>116</v>
      </c>
      <c r="B15" s="12" t="s">
        <v>57</v>
      </c>
      <c r="C15" s="12" t="s">
        <v>58</v>
      </c>
      <c r="D15" s="12" t="s">
        <v>29</v>
      </c>
      <c r="E15" s="6" t="s">
        <v>31</v>
      </c>
      <c r="F15" s="6" t="s">
        <v>123</v>
      </c>
      <c r="G15" s="3"/>
      <c r="H15" s="3"/>
      <c r="I15" s="11" t="s">
        <v>43</v>
      </c>
      <c r="J15" s="11" t="s">
        <v>63</v>
      </c>
      <c r="K15" s="11">
        <v>0.1</v>
      </c>
      <c r="L15" s="11" t="s">
        <v>46</v>
      </c>
    </row>
    <row r="16" ht="56.25" customHeight="1">
      <c r="A16" s="12" t="s">
        <v>116</v>
      </c>
      <c r="B16" s="12" t="s">
        <v>65</v>
      </c>
      <c r="C16" s="12" t="s">
        <v>66</v>
      </c>
      <c r="D16" s="12" t="s">
        <v>29</v>
      </c>
      <c r="E16" s="6" t="s">
        <v>31</v>
      </c>
      <c r="F16" s="6" t="s">
        <v>128</v>
      </c>
      <c r="G16" s="3"/>
      <c r="H16" s="3"/>
      <c r="I16" s="11" t="s">
        <v>43</v>
      </c>
      <c r="J16" s="11" t="s">
        <v>70</v>
      </c>
      <c r="K16" s="11">
        <v>0.1</v>
      </c>
      <c r="L16" s="11" t="s">
        <v>46</v>
      </c>
    </row>
    <row r="17" ht="59.25" customHeight="1">
      <c r="A17" s="12" t="s">
        <v>116</v>
      </c>
      <c r="B17" s="12" t="s">
        <v>72</v>
      </c>
      <c r="C17" s="12" t="s">
        <v>73</v>
      </c>
      <c r="D17" s="12" t="s">
        <v>29</v>
      </c>
      <c r="E17" s="6" t="s">
        <v>29</v>
      </c>
      <c r="F17" s="3"/>
      <c r="G17" s="3"/>
      <c r="H17" s="3"/>
      <c r="I17" s="11" t="s">
        <v>43</v>
      </c>
      <c r="J17" s="11" t="s">
        <v>81</v>
      </c>
      <c r="K17" s="11">
        <v>0.1</v>
      </c>
      <c r="L17" s="11" t="s">
        <v>46</v>
      </c>
    </row>
    <row r="18" ht="45.0" customHeight="1">
      <c r="A18" s="12" t="s">
        <v>116</v>
      </c>
      <c r="B18" s="12" t="s">
        <v>84</v>
      </c>
      <c r="C18" s="12" t="s">
        <v>85</v>
      </c>
      <c r="D18" s="12" t="s">
        <v>29</v>
      </c>
      <c r="E18" s="6" t="s">
        <v>29</v>
      </c>
      <c r="F18" s="3"/>
      <c r="G18" s="3"/>
      <c r="H18" s="3"/>
      <c r="I18" s="11" t="s">
        <v>43</v>
      </c>
      <c r="J18" s="11" t="s">
        <v>89</v>
      </c>
      <c r="K18" s="11">
        <v>0.1</v>
      </c>
      <c r="L18" s="11" t="s">
        <v>46</v>
      </c>
    </row>
    <row r="19" ht="45.0" customHeight="1">
      <c r="A19" s="12" t="s">
        <v>116</v>
      </c>
      <c r="B19" s="12" t="s">
        <v>93</v>
      </c>
      <c r="C19" s="12" t="s">
        <v>94</v>
      </c>
      <c r="D19" s="12" t="s">
        <v>29</v>
      </c>
      <c r="E19" s="6" t="s">
        <v>29</v>
      </c>
      <c r="F19" s="3"/>
      <c r="G19" s="3"/>
      <c r="H19" s="3"/>
      <c r="I19" s="11" t="s">
        <v>43</v>
      </c>
      <c r="J19" s="11" t="s">
        <v>98</v>
      </c>
      <c r="K19" s="11">
        <v>0.1</v>
      </c>
      <c r="L19" s="11" t="s">
        <v>46</v>
      </c>
    </row>
    <row r="20" ht="45.0" customHeight="1">
      <c r="A20" s="12" t="s">
        <v>116</v>
      </c>
      <c r="B20" s="12" t="s">
        <v>101</v>
      </c>
      <c r="C20" s="12" t="s">
        <v>102</v>
      </c>
      <c r="D20" s="12" t="s">
        <v>29</v>
      </c>
      <c r="E20" s="6" t="s">
        <v>29</v>
      </c>
      <c r="F20" s="3"/>
      <c r="G20" s="3"/>
      <c r="H20" s="3"/>
      <c r="I20" s="11" t="s">
        <v>43</v>
      </c>
      <c r="J20" s="11" t="s">
        <v>107</v>
      </c>
      <c r="K20" s="11">
        <v>0.1</v>
      </c>
      <c r="L20" s="11" t="s">
        <v>46</v>
      </c>
    </row>
    <row r="21" ht="45.0" customHeight="1">
      <c r="A21" s="12" t="s">
        <v>116</v>
      </c>
      <c r="B21" s="12" t="s">
        <v>109</v>
      </c>
      <c r="C21" s="12" t="s">
        <v>110</v>
      </c>
      <c r="D21" s="12" t="s">
        <v>29</v>
      </c>
      <c r="E21" s="6" t="s">
        <v>31</v>
      </c>
      <c r="F21" s="6" t="s">
        <v>123</v>
      </c>
      <c r="G21" s="3"/>
      <c r="H21" s="3"/>
      <c r="I21" s="11" t="s">
        <v>43</v>
      </c>
      <c r="J21" s="11" t="s">
        <v>114</v>
      </c>
      <c r="K21" s="11">
        <v>0.1</v>
      </c>
      <c r="L21" s="11" t="s">
        <v>46</v>
      </c>
    </row>
    <row r="22" ht="168.75" customHeight="1">
      <c r="A22" s="5" t="s">
        <v>138</v>
      </c>
      <c r="B22" s="7" t="s">
        <v>24</v>
      </c>
      <c r="C22" s="7" t="s">
        <v>27</v>
      </c>
      <c r="D22" s="7" t="s">
        <v>29</v>
      </c>
      <c r="E22" s="9" t="s">
        <v>29</v>
      </c>
      <c r="F22" s="9"/>
      <c r="G22" s="10"/>
      <c r="H22" s="10"/>
      <c r="I22" s="11" t="s">
        <v>43</v>
      </c>
      <c r="J22" s="11" t="s">
        <v>44</v>
      </c>
      <c r="K22" s="11">
        <v>0.1</v>
      </c>
      <c r="L22" s="11" t="s">
        <v>46</v>
      </c>
    </row>
    <row r="23" ht="169.5" customHeight="1">
      <c r="A23" s="12" t="s">
        <v>138</v>
      </c>
      <c r="B23" s="12" t="s">
        <v>48</v>
      </c>
      <c r="C23" s="12" t="s">
        <v>49</v>
      </c>
      <c r="D23" s="12" t="s">
        <v>29</v>
      </c>
      <c r="E23" s="6" t="s">
        <v>29</v>
      </c>
      <c r="F23" s="3"/>
      <c r="G23" s="3"/>
      <c r="H23" s="3"/>
      <c r="I23" s="11" t="s">
        <v>43</v>
      </c>
      <c r="J23" s="11" t="s">
        <v>50</v>
      </c>
      <c r="K23" s="11">
        <v>0.1</v>
      </c>
      <c r="L23" s="11" t="s">
        <v>46</v>
      </c>
    </row>
    <row r="24" ht="337.5" customHeight="1">
      <c r="A24" s="12" t="s">
        <v>138</v>
      </c>
      <c r="B24" s="12" t="s">
        <v>51</v>
      </c>
      <c r="C24" s="12" t="s">
        <v>52</v>
      </c>
      <c r="D24" s="12" t="s">
        <v>53</v>
      </c>
      <c r="E24" s="6" t="s">
        <v>29</v>
      </c>
      <c r="F24" s="6"/>
      <c r="G24" s="3"/>
      <c r="H24" s="3"/>
      <c r="I24" s="11" t="s">
        <v>43</v>
      </c>
      <c r="J24" s="11" t="s">
        <v>55</v>
      </c>
      <c r="K24" s="11">
        <v>0.1</v>
      </c>
      <c r="L24" s="11" t="s">
        <v>46</v>
      </c>
    </row>
    <row r="25" ht="180.75" customHeight="1">
      <c r="A25" s="12" t="s">
        <v>138</v>
      </c>
      <c r="B25" s="12" t="s">
        <v>57</v>
      </c>
      <c r="C25" s="12" t="s">
        <v>58</v>
      </c>
      <c r="D25" s="12" t="s">
        <v>29</v>
      </c>
      <c r="E25" s="6" t="s">
        <v>31</v>
      </c>
      <c r="F25" s="6" t="s">
        <v>144</v>
      </c>
      <c r="G25" s="3"/>
      <c r="H25" s="3"/>
      <c r="I25" s="11" t="s">
        <v>43</v>
      </c>
      <c r="J25" s="11" t="s">
        <v>63</v>
      </c>
      <c r="K25" s="11">
        <v>0.1</v>
      </c>
      <c r="L25" s="11" t="s">
        <v>46</v>
      </c>
    </row>
    <row r="26" ht="56.25" customHeight="1">
      <c r="A26" s="12" t="s">
        <v>138</v>
      </c>
      <c r="B26" s="12" t="s">
        <v>65</v>
      </c>
      <c r="C26" s="12" t="s">
        <v>66</v>
      </c>
      <c r="D26" s="12" t="s">
        <v>29</v>
      </c>
      <c r="E26" s="6" t="s">
        <v>31</v>
      </c>
      <c r="F26" s="6" t="s">
        <v>147</v>
      </c>
      <c r="G26" s="3"/>
      <c r="H26" s="3"/>
      <c r="I26" s="11" t="s">
        <v>43</v>
      </c>
      <c r="J26" s="11" t="s">
        <v>70</v>
      </c>
      <c r="K26" s="11">
        <v>0.1</v>
      </c>
      <c r="L26" s="11" t="s">
        <v>46</v>
      </c>
    </row>
    <row r="27" ht="59.25" customHeight="1">
      <c r="A27" s="12" t="s">
        <v>138</v>
      </c>
      <c r="B27" s="12" t="s">
        <v>72</v>
      </c>
      <c r="C27" s="12" t="s">
        <v>73</v>
      </c>
      <c r="D27" s="12" t="s">
        <v>29</v>
      </c>
      <c r="E27" s="6" t="s">
        <v>29</v>
      </c>
      <c r="F27" s="3"/>
      <c r="G27" s="3"/>
      <c r="H27" s="3"/>
      <c r="I27" s="11" t="s">
        <v>43</v>
      </c>
      <c r="J27" s="11" t="s">
        <v>81</v>
      </c>
      <c r="K27" s="11">
        <v>0.1</v>
      </c>
      <c r="L27" s="11" t="s">
        <v>46</v>
      </c>
    </row>
    <row r="28" ht="45.0" customHeight="1">
      <c r="A28" s="12" t="s">
        <v>138</v>
      </c>
      <c r="B28" s="12" t="s">
        <v>84</v>
      </c>
      <c r="C28" s="12" t="s">
        <v>85</v>
      </c>
      <c r="D28" s="12" t="s">
        <v>29</v>
      </c>
      <c r="E28" s="6" t="s">
        <v>29</v>
      </c>
      <c r="F28" s="3"/>
      <c r="G28" s="3"/>
      <c r="H28" s="3"/>
      <c r="I28" s="11" t="s">
        <v>43</v>
      </c>
      <c r="J28" s="11" t="s">
        <v>89</v>
      </c>
      <c r="K28" s="11">
        <v>0.1</v>
      </c>
      <c r="L28" s="11" t="s">
        <v>46</v>
      </c>
    </row>
    <row r="29" ht="45.0" customHeight="1">
      <c r="A29" s="12" t="s">
        <v>138</v>
      </c>
      <c r="B29" s="12" t="s">
        <v>93</v>
      </c>
      <c r="C29" s="12" t="s">
        <v>94</v>
      </c>
      <c r="D29" s="12" t="s">
        <v>29</v>
      </c>
      <c r="E29" s="6" t="s">
        <v>29</v>
      </c>
      <c r="F29" s="3"/>
      <c r="G29" s="3"/>
      <c r="H29" s="3"/>
      <c r="I29" s="11" t="s">
        <v>43</v>
      </c>
      <c r="J29" s="11" t="s">
        <v>98</v>
      </c>
      <c r="K29" s="11">
        <v>0.1</v>
      </c>
      <c r="L29" s="11" t="s">
        <v>46</v>
      </c>
    </row>
    <row r="30" ht="45.0" customHeight="1">
      <c r="A30" s="12" t="s">
        <v>138</v>
      </c>
      <c r="B30" s="12" t="s">
        <v>101</v>
      </c>
      <c r="C30" s="12" t="s">
        <v>102</v>
      </c>
      <c r="D30" s="12" t="s">
        <v>29</v>
      </c>
      <c r="E30" s="6" t="s">
        <v>29</v>
      </c>
      <c r="F30" s="3"/>
      <c r="G30" s="3"/>
      <c r="H30" s="3"/>
      <c r="I30" s="11" t="s">
        <v>43</v>
      </c>
      <c r="J30" s="11" t="s">
        <v>107</v>
      </c>
      <c r="K30" s="11">
        <v>0.1</v>
      </c>
      <c r="L30" s="11" t="s">
        <v>46</v>
      </c>
    </row>
    <row r="31" ht="45.0" customHeight="1">
      <c r="A31" s="12" t="s">
        <v>138</v>
      </c>
      <c r="B31" s="12" t="s">
        <v>109</v>
      </c>
      <c r="C31" s="12" t="s">
        <v>110</v>
      </c>
      <c r="D31" s="12" t="s">
        <v>29</v>
      </c>
      <c r="E31" s="6" t="s">
        <v>31</v>
      </c>
      <c r="F31" s="6" t="s">
        <v>166</v>
      </c>
      <c r="G31" s="3"/>
      <c r="H31" s="3"/>
      <c r="I31" s="11" t="s">
        <v>43</v>
      </c>
      <c r="J31" s="11" t="s">
        <v>114</v>
      </c>
      <c r="K31" s="11">
        <v>0.1</v>
      </c>
      <c r="L31" s="11" t="s">
        <v>46</v>
      </c>
    </row>
    <row r="32" ht="168.75" customHeight="1">
      <c r="A32" s="5" t="s">
        <v>172</v>
      </c>
      <c r="B32" s="7" t="s">
        <v>24</v>
      </c>
      <c r="C32" s="7" t="s">
        <v>27</v>
      </c>
      <c r="D32" s="7" t="s">
        <v>29</v>
      </c>
      <c r="E32" s="9" t="s">
        <v>29</v>
      </c>
      <c r="F32" s="10"/>
      <c r="G32" s="10"/>
      <c r="H32" s="10"/>
      <c r="I32" s="11" t="s">
        <v>43</v>
      </c>
      <c r="J32" s="11" t="s">
        <v>44</v>
      </c>
      <c r="K32" s="11">
        <v>0.1</v>
      </c>
      <c r="L32" s="11" t="s">
        <v>46</v>
      </c>
    </row>
    <row r="33" ht="169.5" customHeight="1">
      <c r="A33" s="12" t="s">
        <v>172</v>
      </c>
      <c r="B33" s="12" t="s">
        <v>48</v>
      </c>
      <c r="C33" s="12" t="s">
        <v>49</v>
      </c>
      <c r="D33" s="12" t="s">
        <v>29</v>
      </c>
      <c r="E33" s="6" t="s">
        <v>29</v>
      </c>
      <c r="F33" s="3"/>
      <c r="G33" s="3"/>
      <c r="H33" s="3"/>
      <c r="I33" s="11" t="s">
        <v>43</v>
      </c>
      <c r="J33" s="11" t="s">
        <v>50</v>
      </c>
      <c r="K33" s="11">
        <v>0.1</v>
      </c>
      <c r="L33" s="11" t="s">
        <v>46</v>
      </c>
    </row>
    <row r="34" ht="337.5" customHeight="1">
      <c r="A34" s="12" t="s">
        <v>172</v>
      </c>
      <c r="B34" s="12" t="s">
        <v>51</v>
      </c>
      <c r="C34" s="12" t="s">
        <v>52</v>
      </c>
      <c r="D34" s="13" t="s">
        <v>179</v>
      </c>
      <c r="E34" s="6" t="s">
        <v>31</v>
      </c>
      <c r="F34" s="6" t="s">
        <v>181</v>
      </c>
      <c r="G34" s="3"/>
      <c r="H34" s="3"/>
      <c r="I34" s="11" t="s">
        <v>43</v>
      </c>
      <c r="J34" s="11" t="s">
        <v>55</v>
      </c>
      <c r="K34" s="11">
        <v>0.1</v>
      </c>
      <c r="L34" s="11" t="s">
        <v>46</v>
      </c>
    </row>
    <row r="35" ht="180.75" customHeight="1">
      <c r="A35" s="12" t="s">
        <v>172</v>
      </c>
      <c r="B35" s="12" t="s">
        <v>57</v>
      </c>
      <c r="C35" s="12" t="s">
        <v>58</v>
      </c>
      <c r="D35" s="12" t="s">
        <v>29</v>
      </c>
      <c r="E35" s="6" t="s">
        <v>31</v>
      </c>
      <c r="F35" s="6" t="s">
        <v>184</v>
      </c>
      <c r="G35" s="3"/>
      <c r="H35" s="3"/>
      <c r="I35" s="11" t="s">
        <v>43</v>
      </c>
      <c r="J35" s="11" t="s">
        <v>63</v>
      </c>
      <c r="K35" s="11">
        <v>0.1</v>
      </c>
      <c r="L35" s="11" t="s">
        <v>46</v>
      </c>
    </row>
    <row r="36" ht="56.25" customHeight="1">
      <c r="A36" s="12" t="s">
        <v>172</v>
      </c>
      <c r="B36" s="12" t="s">
        <v>65</v>
      </c>
      <c r="C36" s="12" t="s">
        <v>66</v>
      </c>
      <c r="D36" s="12" t="s">
        <v>29</v>
      </c>
      <c r="E36" s="6" t="s">
        <v>31</v>
      </c>
      <c r="F36" s="6" t="s">
        <v>187</v>
      </c>
      <c r="G36" s="3"/>
      <c r="H36" s="3"/>
      <c r="I36" s="11" t="s">
        <v>43</v>
      </c>
      <c r="J36" s="11" t="s">
        <v>70</v>
      </c>
      <c r="K36" s="11">
        <v>0.1</v>
      </c>
      <c r="L36" s="11" t="s">
        <v>46</v>
      </c>
    </row>
    <row r="37" ht="59.25" customHeight="1">
      <c r="A37" s="12" t="s">
        <v>172</v>
      </c>
      <c r="B37" s="12" t="s">
        <v>72</v>
      </c>
      <c r="C37" s="12" t="s">
        <v>73</v>
      </c>
      <c r="D37" s="12" t="s">
        <v>29</v>
      </c>
      <c r="E37" s="6" t="s">
        <v>29</v>
      </c>
      <c r="F37" s="3"/>
      <c r="G37" s="3"/>
      <c r="H37" s="3"/>
      <c r="I37" s="11" t="s">
        <v>43</v>
      </c>
      <c r="J37" s="11" t="s">
        <v>81</v>
      </c>
      <c r="K37" s="11">
        <v>0.1</v>
      </c>
      <c r="L37" s="11" t="s">
        <v>46</v>
      </c>
    </row>
    <row r="38" ht="45.0" customHeight="1">
      <c r="A38" s="12" t="s">
        <v>172</v>
      </c>
      <c r="B38" s="12" t="s">
        <v>84</v>
      </c>
      <c r="C38" s="12" t="s">
        <v>85</v>
      </c>
      <c r="D38" s="12" t="s">
        <v>29</v>
      </c>
      <c r="E38" s="6" t="s">
        <v>29</v>
      </c>
      <c r="F38" s="3"/>
      <c r="G38" s="3"/>
      <c r="H38" s="3"/>
      <c r="I38" s="11" t="s">
        <v>43</v>
      </c>
      <c r="J38" s="11" t="s">
        <v>89</v>
      </c>
      <c r="K38" s="11">
        <v>0.1</v>
      </c>
      <c r="L38" s="11" t="s">
        <v>46</v>
      </c>
    </row>
    <row r="39" ht="45.0" customHeight="1">
      <c r="A39" s="12" t="s">
        <v>172</v>
      </c>
      <c r="B39" s="12" t="s">
        <v>93</v>
      </c>
      <c r="C39" s="12" t="s">
        <v>94</v>
      </c>
      <c r="D39" s="12" t="s">
        <v>29</v>
      </c>
      <c r="E39" s="6" t="s">
        <v>29</v>
      </c>
      <c r="F39" s="3"/>
      <c r="G39" s="3"/>
      <c r="H39" s="3"/>
      <c r="I39" s="11" t="s">
        <v>43</v>
      </c>
      <c r="J39" s="11" t="s">
        <v>98</v>
      </c>
      <c r="K39" s="11">
        <v>0.1</v>
      </c>
      <c r="L39" s="11" t="s">
        <v>46</v>
      </c>
    </row>
    <row r="40" ht="45.0" customHeight="1">
      <c r="A40" s="12" t="s">
        <v>172</v>
      </c>
      <c r="B40" s="12" t="s">
        <v>101</v>
      </c>
      <c r="C40" s="12" t="s">
        <v>102</v>
      </c>
      <c r="D40" s="12" t="s">
        <v>29</v>
      </c>
      <c r="E40" s="6" t="s">
        <v>29</v>
      </c>
      <c r="F40" s="3"/>
      <c r="G40" s="3"/>
      <c r="H40" s="3"/>
      <c r="I40" s="11" t="s">
        <v>43</v>
      </c>
      <c r="J40" s="11" t="s">
        <v>107</v>
      </c>
      <c r="K40" s="11">
        <v>0.1</v>
      </c>
      <c r="L40" s="11" t="s">
        <v>46</v>
      </c>
    </row>
    <row r="41" ht="45.0" customHeight="1">
      <c r="A41" s="12" t="s">
        <v>172</v>
      </c>
      <c r="B41" s="12" t="s">
        <v>109</v>
      </c>
      <c r="C41" s="12" t="s">
        <v>110</v>
      </c>
      <c r="D41" s="12" t="s">
        <v>29</v>
      </c>
      <c r="E41" s="6" t="s">
        <v>31</v>
      </c>
      <c r="F41" s="6" t="s">
        <v>193</v>
      </c>
      <c r="G41" s="3"/>
      <c r="H41" s="3"/>
      <c r="I41" s="11" t="s">
        <v>43</v>
      </c>
      <c r="J41" s="11" t="s">
        <v>114</v>
      </c>
      <c r="K41" s="11">
        <v>0.1</v>
      </c>
      <c r="L41" s="11" t="s">
        <v>46</v>
      </c>
    </row>
    <row r="42" ht="168.75" customHeight="1">
      <c r="A42" s="5" t="s">
        <v>196</v>
      </c>
      <c r="B42" s="7" t="s">
        <v>24</v>
      </c>
      <c r="C42" s="7" t="s">
        <v>27</v>
      </c>
      <c r="D42" s="7" t="s">
        <v>29</v>
      </c>
      <c r="E42" s="9" t="s">
        <v>29</v>
      </c>
      <c r="F42" s="9"/>
      <c r="G42" s="10"/>
      <c r="H42" s="10"/>
      <c r="I42" s="11" t="s">
        <v>43</v>
      </c>
      <c r="J42" s="11" t="s">
        <v>44</v>
      </c>
      <c r="K42" s="11">
        <v>0.1</v>
      </c>
      <c r="L42" s="11" t="s">
        <v>46</v>
      </c>
    </row>
    <row r="43" ht="169.5" customHeight="1">
      <c r="A43" s="12" t="s">
        <v>196</v>
      </c>
      <c r="B43" s="12" t="s">
        <v>48</v>
      </c>
      <c r="C43" s="12" t="s">
        <v>49</v>
      </c>
      <c r="D43" s="12" t="s">
        <v>29</v>
      </c>
      <c r="E43" s="6" t="s">
        <v>29</v>
      </c>
      <c r="F43" s="3"/>
      <c r="G43" s="3"/>
      <c r="H43" s="3"/>
      <c r="I43" s="11" t="s">
        <v>43</v>
      </c>
      <c r="J43" s="11" t="s">
        <v>50</v>
      </c>
      <c r="K43" s="11">
        <v>0.1</v>
      </c>
      <c r="L43" s="11" t="s">
        <v>46</v>
      </c>
    </row>
    <row r="44" ht="337.5" customHeight="1">
      <c r="A44" s="12" t="s">
        <v>196</v>
      </c>
      <c r="B44" s="12" t="s">
        <v>51</v>
      </c>
      <c r="C44" s="12" t="s">
        <v>52</v>
      </c>
      <c r="D44" s="12" t="s">
        <v>53</v>
      </c>
      <c r="E44" s="6" t="s">
        <v>31</v>
      </c>
      <c r="F44" s="6" t="s">
        <v>200</v>
      </c>
      <c r="G44" s="3"/>
      <c r="H44" s="3"/>
      <c r="I44" s="11" t="s">
        <v>43</v>
      </c>
      <c r="J44" s="11" t="s">
        <v>55</v>
      </c>
      <c r="K44" s="11">
        <v>0.1</v>
      </c>
      <c r="L44" s="11" t="s">
        <v>46</v>
      </c>
    </row>
    <row r="45" ht="180.75" customHeight="1">
      <c r="A45" s="12" t="s">
        <v>196</v>
      </c>
      <c r="B45" s="12" t="s">
        <v>57</v>
      </c>
      <c r="C45" s="12" t="s">
        <v>58</v>
      </c>
      <c r="D45" s="12" t="s">
        <v>29</v>
      </c>
      <c r="E45" s="6" t="s">
        <v>31</v>
      </c>
      <c r="F45" s="6" t="s">
        <v>202</v>
      </c>
      <c r="G45" s="3"/>
      <c r="H45" s="3"/>
      <c r="I45" s="11" t="s">
        <v>43</v>
      </c>
      <c r="J45" s="11" t="s">
        <v>63</v>
      </c>
      <c r="K45" s="11">
        <v>0.1</v>
      </c>
      <c r="L45" s="11" t="s">
        <v>46</v>
      </c>
    </row>
    <row r="46" ht="56.25" customHeight="1">
      <c r="A46" s="12" t="s">
        <v>196</v>
      </c>
      <c r="B46" s="12" t="s">
        <v>65</v>
      </c>
      <c r="C46" s="12" t="s">
        <v>66</v>
      </c>
      <c r="D46" s="12" t="s">
        <v>29</v>
      </c>
      <c r="E46" s="6" t="s">
        <v>31</v>
      </c>
      <c r="F46" s="6" t="s">
        <v>204</v>
      </c>
      <c r="G46" s="3"/>
      <c r="H46" s="3"/>
      <c r="I46" s="11" t="s">
        <v>43</v>
      </c>
      <c r="J46" s="11" t="s">
        <v>70</v>
      </c>
      <c r="K46" s="11">
        <v>0.1</v>
      </c>
      <c r="L46" s="11" t="s">
        <v>46</v>
      </c>
    </row>
    <row r="47" ht="59.25" customHeight="1">
      <c r="A47" s="12" t="s">
        <v>196</v>
      </c>
      <c r="B47" s="12" t="s">
        <v>72</v>
      </c>
      <c r="C47" s="12" t="s">
        <v>73</v>
      </c>
      <c r="D47" s="12" t="s">
        <v>29</v>
      </c>
      <c r="E47" s="6" t="s">
        <v>29</v>
      </c>
      <c r="F47" s="3"/>
      <c r="G47" s="3"/>
      <c r="H47" s="3"/>
      <c r="I47" s="11" t="s">
        <v>43</v>
      </c>
      <c r="J47" s="11" t="s">
        <v>81</v>
      </c>
      <c r="K47" s="11">
        <v>0.1</v>
      </c>
      <c r="L47" s="11" t="s">
        <v>46</v>
      </c>
    </row>
    <row r="48" ht="45.0" customHeight="1">
      <c r="A48" s="12" t="s">
        <v>196</v>
      </c>
      <c r="B48" s="12" t="s">
        <v>84</v>
      </c>
      <c r="C48" s="12" t="s">
        <v>85</v>
      </c>
      <c r="D48" s="12" t="s">
        <v>29</v>
      </c>
      <c r="E48" s="6" t="s">
        <v>29</v>
      </c>
      <c r="F48" s="3"/>
      <c r="G48" s="3"/>
      <c r="H48" s="3"/>
      <c r="I48" s="11" t="s">
        <v>43</v>
      </c>
      <c r="J48" s="11" t="s">
        <v>89</v>
      </c>
      <c r="K48" s="11">
        <v>0.1</v>
      </c>
      <c r="L48" s="11" t="s">
        <v>46</v>
      </c>
    </row>
    <row r="49" ht="45.0" customHeight="1">
      <c r="A49" s="12" t="s">
        <v>196</v>
      </c>
      <c r="B49" s="12" t="s">
        <v>93</v>
      </c>
      <c r="C49" s="12" t="s">
        <v>94</v>
      </c>
      <c r="D49" s="12" t="s">
        <v>29</v>
      </c>
      <c r="E49" s="6" t="s">
        <v>29</v>
      </c>
      <c r="F49" s="3"/>
      <c r="G49" s="3"/>
      <c r="H49" s="3"/>
      <c r="I49" s="11" t="s">
        <v>43</v>
      </c>
      <c r="J49" s="11" t="s">
        <v>98</v>
      </c>
      <c r="K49" s="11">
        <v>0.1</v>
      </c>
      <c r="L49" s="11" t="s">
        <v>46</v>
      </c>
    </row>
    <row r="50" ht="45.0" customHeight="1">
      <c r="A50" s="12" t="s">
        <v>196</v>
      </c>
      <c r="B50" s="12" t="s">
        <v>101</v>
      </c>
      <c r="C50" s="12" t="s">
        <v>102</v>
      </c>
      <c r="D50" s="12" t="s">
        <v>29</v>
      </c>
      <c r="E50" s="6" t="s">
        <v>29</v>
      </c>
      <c r="F50" s="3"/>
      <c r="G50" s="3"/>
      <c r="H50" s="3"/>
      <c r="I50" s="11" t="s">
        <v>43</v>
      </c>
      <c r="J50" s="11" t="s">
        <v>107</v>
      </c>
      <c r="K50" s="11">
        <v>0.1</v>
      </c>
      <c r="L50" s="11" t="s">
        <v>46</v>
      </c>
    </row>
    <row r="51" ht="45.0" customHeight="1">
      <c r="A51" s="12" t="s">
        <v>196</v>
      </c>
      <c r="B51" s="12" t="s">
        <v>109</v>
      </c>
      <c r="C51" s="12" t="s">
        <v>110</v>
      </c>
      <c r="D51" s="12" t="s">
        <v>29</v>
      </c>
      <c r="E51" s="6" t="s">
        <v>31</v>
      </c>
      <c r="F51" s="6" t="s">
        <v>200</v>
      </c>
      <c r="G51" s="3"/>
      <c r="H51" s="3"/>
      <c r="I51" s="11" t="s">
        <v>43</v>
      </c>
      <c r="J51" s="11" t="s">
        <v>114</v>
      </c>
      <c r="K51" s="11">
        <v>0.1</v>
      </c>
      <c r="L51" s="11" t="s">
        <v>46</v>
      </c>
    </row>
    <row r="52" ht="168.75" customHeight="1">
      <c r="A52" s="5" t="s">
        <v>212</v>
      </c>
      <c r="B52" s="7" t="s">
        <v>24</v>
      </c>
      <c r="C52" s="7" t="s">
        <v>27</v>
      </c>
      <c r="D52" s="19" t="s">
        <v>213</v>
      </c>
      <c r="E52" s="9" t="s">
        <v>29</v>
      </c>
      <c r="F52" s="10"/>
      <c r="G52" s="10"/>
      <c r="H52" s="10"/>
      <c r="I52" s="11" t="s">
        <v>43</v>
      </c>
      <c r="J52" s="11" t="s">
        <v>44</v>
      </c>
      <c r="K52" s="11">
        <v>0.1</v>
      </c>
      <c r="L52" s="11" t="s">
        <v>46</v>
      </c>
    </row>
    <row r="53" ht="169.5" customHeight="1">
      <c r="A53" s="12" t="s">
        <v>212</v>
      </c>
      <c r="B53" s="12" t="s">
        <v>48</v>
      </c>
      <c r="C53" s="12" t="s">
        <v>49</v>
      </c>
      <c r="D53" s="12" t="s">
        <v>29</v>
      </c>
      <c r="E53" s="6" t="s">
        <v>29</v>
      </c>
      <c r="F53" s="3"/>
      <c r="G53" s="3"/>
      <c r="H53" s="3"/>
      <c r="I53" s="11" t="s">
        <v>43</v>
      </c>
      <c r="J53" s="11" t="s">
        <v>50</v>
      </c>
      <c r="K53" s="11">
        <v>0.1</v>
      </c>
      <c r="L53" s="11" t="s">
        <v>46</v>
      </c>
    </row>
    <row r="54" ht="337.5" customHeight="1">
      <c r="A54" s="12" t="s">
        <v>212</v>
      </c>
      <c r="B54" s="12" t="s">
        <v>51</v>
      </c>
      <c r="C54" s="12" t="s">
        <v>52</v>
      </c>
      <c r="D54" s="12" t="s">
        <v>53</v>
      </c>
      <c r="E54" s="6" t="s">
        <v>29</v>
      </c>
      <c r="F54" s="3"/>
      <c r="G54" s="3"/>
      <c r="H54" s="3"/>
      <c r="I54" s="11" t="s">
        <v>43</v>
      </c>
      <c r="J54" s="11" t="s">
        <v>55</v>
      </c>
      <c r="K54" s="11">
        <v>0.1</v>
      </c>
      <c r="L54" s="11" t="s">
        <v>46</v>
      </c>
    </row>
    <row r="55" ht="180.75" customHeight="1">
      <c r="A55" s="12" t="s">
        <v>212</v>
      </c>
      <c r="B55" s="12" t="s">
        <v>57</v>
      </c>
      <c r="C55" s="12" t="s">
        <v>58</v>
      </c>
      <c r="D55" s="12" t="s">
        <v>29</v>
      </c>
      <c r="E55" s="18" t="s">
        <v>31</v>
      </c>
      <c r="F55" s="6" t="s">
        <v>221</v>
      </c>
      <c r="G55" s="3"/>
      <c r="H55" s="3"/>
      <c r="I55" s="11" t="s">
        <v>43</v>
      </c>
      <c r="J55" s="11" t="s">
        <v>63</v>
      </c>
      <c r="K55" s="11">
        <v>0.1</v>
      </c>
      <c r="L55" s="11" t="s">
        <v>46</v>
      </c>
    </row>
    <row r="56" ht="56.25" customHeight="1">
      <c r="A56" s="12" t="s">
        <v>212</v>
      </c>
      <c r="B56" s="12" t="s">
        <v>65</v>
      </c>
      <c r="C56" s="12" t="s">
        <v>66</v>
      </c>
      <c r="D56" s="12" t="s">
        <v>29</v>
      </c>
      <c r="E56" s="6" t="s">
        <v>31</v>
      </c>
      <c r="F56" s="6" t="s">
        <v>221</v>
      </c>
      <c r="G56" s="3"/>
      <c r="H56" s="3"/>
      <c r="I56" s="11" t="s">
        <v>43</v>
      </c>
      <c r="J56" s="11" t="s">
        <v>70</v>
      </c>
      <c r="K56" s="11">
        <v>0.1</v>
      </c>
      <c r="L56" s="11" t="s">
        <v>46</v>
      </c>
    </row>
    <row r="57" ht="59.25" customHeight="1">
      <c r="A57" s="12" t="s">
        <v>212</v>
      </c>
      <c r="B57" s="12" t="s">
        <v>72</v>
      </c>
      <c r="C57" s="12" t="s">
        <v>73</v>
      </c>
      <c r="D57" s="12" t="s">
        <v>29</v>
      </c>
      <c r="E57" s="18" t="s">
        <v>29</v>
      </c>
      <c r="F57" s="3"/>
      <c r="G57" s="3"/>
      <c r="H57" s="3"/>
      <c r="I57" s="11" t="s">
        <v>43</v>
      </c>
      <c r="J57" s="11" t="s">
        <v>81</v>
      </c>
      <c r="K57" s="11">
        <v>0.1</v>
      </c>
      <c r="L57" s="11" t="s">
        <v>46</v>
      </c>
    </row>
    <row r="58" ht="45.0" customHeight="1">
      <c r="A58" s="12" t="s">
        <v>212</v>
      </c>
      <c r="B58" s="12" t="s">
        <v>84</v>
      </c>
      <c r="C58" s="12" t="s">
        <v>85</v>
      </c>
      <c r="D58" s="12" t="s">
        <v>29</v>
      </c>
      <c r="E58" s="6" t="s">
        <v>29</v>
      </c>
      <c r="F58" s="3"/>
      <c r="G58" s="3"/>
      <c r="H58" s="3"/>
      <c r="I58" s="11" t="s">
        <v>43</v>
      </c>
      <c r="J58" s="11" t="s">
        <v>89</v>
      </c>
      <c r="K58" s="11">
        <v>0.1</v>
      </c>
      <c r="L58" s="11" t="s">
        <v>46</v>
      </c>
    </row>
    <row r="59" ht="45.0" customHeight="1">
      <c r="A59" s="12" t="s">
        <v>212</v>
      </c>
      <c r="B59" s="12" t="s">
        <v>93</v>
      </c>
      <c r="C59" s="12" t="s">
        <v>94</v>
      </c>
      <c r="D59" s="12" t="s">
        <v>29</v>
      </c>
      <c r="E59" s="6" t="s">
        <v>29</v>
      </c>
      <c r="F59" s="3"/>
      <c r="G59" s="3"/>
      <c r="H59" s="3"/>
      <c r="I59" s="11" t="s">
        <v>43</v>
      </c>
      <c r="J59" s="11" t="s">
        <v>98</v>
      </c>
      <c r="K59" s="11">
        <v>0.1</v>
      </c>
      <c r="L59" s="11" t="s">
        <v>46</v>
      </c>
    </row>
    <row r="60" ht="45.0" customHeight="1">
      <c r="A60" s="12" t="s">
        <v>212</v>
      </c>
      <c r="B60" s="12" t="s">
        <v>101</v>
      </c>
      <c r="C60" s="12" t="s">
        <v>102</v>
      </c>
      <c r="D60" s="12" t="s">
        <v>29</v>
      </c>
      <c r="E60" s="6" t="s">
        <v>29</v>
      </c>
      <c r="F60" s="3"/>
      <c r="G60" s="3"/>
      <c r="H60" s="3"/>
      <c r="I60" s="11" t="s">
        <v>43</v>
      </c>
      <c r="J60" s="11" t="s">
        <v>107</v>
      </c>
      <c r="K60" s="11">
        <v>0.1</v>
      </c>
      <c r="L60" s="11" t="s">
        <v>46</v>
      </c>
    </row>
    <row r="61" ht="45.0" customHeight="1">
      <c r="A61" s="12" t="s">
        <v>212</v>
      </c>
      <c r="B61" s="12" t="s">
        <v>109</v>
      </c>
      <c r="C61" s="12" t="s">
        <v>110</v>
      </c>
      <c r="D61" s="12" t="s">
        <v>29</v>
      </c>
      <c r="E61" s="6" t="s">
        <v>29</v>
      </c>
      <c r="F61" s="3"/>
      <c r="G61" s="3"/>
      <c r="H61" s="3"/>
      <c r="I61" s="11" t="s">
        <v>43</v>
      </c>
      <c r="J61" s="11" t="s">
        <v>114</v>
      </c>
      <c r="K61" s="11">
        <v>0.1</v>
      </c>
      <c r="L61" s="11" t="s">
        <v>46</v>
      </c>
    </row>
    <row r="62" ht="168.75" customHeight="1">
      <c r="A62" s="5" t="s">
        <v>228</v>
      </c>
      <c r="B62" s="7" t="s">
        <v>24</v>
      </c>
      <c r="C62" s="7" t="s">
        <v>27</v>
      </c>
      <c r="D62" s="7" t="s">
        <v>29</v>
      </c>
      <c r="E62" s="9" t="s">
        <v>29</v>
      </c>
      <c r="F62" s="10"/>
      <c r="G62" s="10"/>
      <c r="H62" s="10"/>
      <c r="I62" s="11" t="s">
        <v>43</v>
      </c>
      <c r="J62" s="11" t="s">
        <v>44</v>
      </c>
      <c r="K62" s="11">
        <v>0.1</v>
      </c>
      <c r="L62" s="11" t="s">
        <v>46</v>
      </c>
    </row>
    <row r="63" ht="169.5" customHeight="1">
      <c r="A63" s="12" t="s">
        <v>228</v>
      </c>
      <c r="B63" s="12" t="s">
        <v>48</v>
      </c>
      <c r="C63" s="12" t="s">
        <v>49</v>
      </c>
      <c r="D63" s="12" t="s">
        <v>29</v>
      </c>
      <c r="E63" s="6" t="s">
        <v>29</v>
      </c>
      <c r="F63" s="3"/>
      <c r="G63" s="3"/>
      <c r="H63" s="3"/>
      <c r="I63" s="11" t="s">
        <v>43</v>
      </c>
      <c r="J63" s="11" t="s">
        <v>50</v>
      </c>
      <c r="K63" s="11">
        <v>0.1</v>
      </c>
      <c r="L63" s="11" t="s">
        <v>46</v>
      </c>
    </row>
    <row r="64" ht="337.5" customHeight="1">
      <c r="A64" s="12" t="s">
        <v>228</v>
      </c>
      <c r="B64" s="12" t="s">
        <v>51</v>
      </c>
      <c r="C64" s="12" t="s">
        <v>52</v>
      </c>
      <c r="D64" s="13" t="s">
        <v>229</v>
      </c>
      <c r="E64" s="6" t="s">
        <v>31</v>
      </c>
      <c r="F64" s="6" t="s">
        <v>230</v>
      </c>
      <c r="G64" s="3"/>
      <c r="H64" s="3"/>
      <c r="I64" s="11" t="s">
        <v>43</v>
      </c>
      <c r="J64" s="11" t="s">
        <v>55</v>
      </c>
      <c r="K64" s="11">
        <v>0.1</v>
      </c>
      <c r="L64" s="11" t="s">
        <v>46</v>
      </c>
    </row>
    <row r="65" ht="180.75" customHeight="1">
      <c r="A65" s="12" t="s">
        <v>228</v>
      </c>
      <c r="B65" s="12" t="s">
        <v>57</v>
      </c>
      <c r="C65" s="12" t="s">
        <v>58</v>
      </c>
      <c r="D65" s="12" t="s">
        <v>29</v>
      </c>
      <c r="E65" s="6" t="s">
        <v>31</v>
      </c>
      <c r="F65" s="6" t="s">
        <v>234</v>
      </c>
      <c r="G65" s="3"/>
      <c r="H65" s="3"/>
      <c r="I65" s="11" t="s">
        <v>43</v>
      </c>
      <c r="J65" s="11" t="s">
        <v>63</v>
      </c>
      <c r="K65" s="11">
        <v>0.1</v>
      </c>
      <c r="L65" s="11" t="s">
        <v>46</v>
      </c>
    </row>
    <row r="66" ht="56.25" customHeight="1">
      <c r="A66" s="12" t="s">
        <v>228</v>
      </c>
      <c r="B66" s="12" t="s">
        <v>65</v>
      </c>
      <c r="C66" s="12" t="s">
        <v>66</v>
      </c>
      <c r="D66" s="12" t="s">
        <v>29</v>
      </c>
      <c r="E66" s="6" t="s">
        <v>31</v>
      </c>
      <c r="F66" s="6" t="s">
        <v>234</v>
      </c>
      <c r="G66" s="3"/>
      <c r="H66" s="3"/>
      <c r="I66" s="11" t="s">
        <v>43</v>
      </c>
      <c r="J66" s="11" t="s">
        <v>70</v>
      </c>
      <c r="K66" s="11">
        <v>0.1</v>
      </c>
      <c r="L66" s="11" t="s">
        <v>46</v>
      </c>
    </row>
    <row r="67" ht="59.25" customHeight="1">
      <c r="A67" s="12" t="s">
        <v>228</v>
      </c>
      <c r="B67" s="12" t="s">
        <v>72</v>
      </c>
      <c r="C67" s="12" t="s">
        <v>73</v>
      </c>
      <c r="D67" s="12" t="s">
        <v>29</v>
      </c>
      <c r="E67" s="6" t="s">
        <v>29</v>
      </c>
      <c r="F67" s="3"/>
      <c r="G67" s="3"/>
      <c r="H67" s="3"/>
      <c r="I67" s="11" t="s">
        <v>43</v>
      </c>
      <c r="J67" s="11" t="s">
        <v>81</v>
      </c>
      <c r="K67" s="11">
        <v>0.1</v>
      </c>
      <c r="L67" s="11" t="s">
        <v>46</v>
      </c>
    </row>
    <row r="68" ht="45.0" customHeight="1">
      <c r="A68" s="12" t="s">
        <v>228</v>
      </c>
      <c r="B68" s="12" t="s">
        <v>84</v>
      </c>
      <c r="C68" s="12" t="s">
        <v>85</v>
      </c>
      <c r="D68" s="12" t="s">
        <v>29</v>
      </c>
      <c r="E68" s="6" t="s">
        <v>29</v>
      </c>
      <c r="F68" s="3"/>
      <c r="G68" s="3"/>
      <c r="H68" s="3"/>
      <c r="I68" s="11" t="s">
        <v>43</v>
      </c>
      <c r="J68" s="11" t="s">
        <v>89</v>
      </c>
      <c r="K68" s="11">
        <v>0.1</v>
      </c>
      <c r="L68" s="11" t="s">
        <v>46</v>
      </c>
    </row>
    <row r="69" ht="45.0" customHeight="1">
      <c r="A69" s="12" t="s">
        <v>228</v>
      </c>
      <c r="B69" s="12" t="s">
        <v>93</v>
      </c>
      <c r="C69" s="12" t="s">
        <v>94</v>
      </c>
      <c r="D69" s="12" t="s">
        <v>29</v>
      </c>
      <c r="E69" s="6" t="s">
        <v>29</v>
      </c>
      <c r="F69" s="3"/>
      <c r="G69" s="3"/>
      <c r="H69" s="3"/>
      <c r="I69" s="11" t="s">
        <v>43</v>
      </c>
      <c r="J69" s="11" t="s">
        <v>98</v>
      </c>
      <c r="K69" s="11">
        <v>0.1</v>
      </c>
      <c r="L69" s="11" t="s">
        <v>46</v>
      </c>
    </row>
    <row r="70" ht="45.0" customHeight="1">
      <c r="A70" s="12" t="s">
        <v>228</v>
      </c>
      <c r="B70" s="12" t="s">
        <v>101</v>
      </c>
      <c r="C70" s="12" t="s">
        <v>102</v>
      </c>
      <c r="D70" s="12" t="s">
        <v>29</v>
      </c>
      <c r="E70" s="6" t="s">
        <v>29</v>
      </c>
      <c r="F70" s="3"/>
      <c r="G70" s="3"/>
      <c r="H70" s="3"/>
      <c r="I70" s="11" t="s">
        <v>43</v>
      </c>
      <c r="J70" s="11" t="s">
        <v>107</v>
      </c>
      <c r="K70" s="11">
        <v>0.1</v>
      </c>
      <c r="L70" s="11" t="s">
        <v>46</v>
      </c>
    </row>
    <row r="71" ht="45.0" customHeight="1">
      <c r="A71" s="12" t="s">
        <v>228</v>
      </c>
      <c r="B71" s="12" t="s">
        <v>109</v>
      </c>
      <c r="C71" s="12" t="s">
        <v>110</v>
      </c>
      <c r="D71" s="12" t="s">
        <v>29</v>
      </c>
      <c r="E71" s="6" t="s">
        <v>29</v>
      </c>
      <c r="F71" s="3"/>
      <c r="G71" s="3"/>
      <c r="H71" s="3"/>
      <c r="I71" s="11" t="s">
        <v>43</v>
      </c>
      <c r="J71" s="11" t="s">
        <v>114</v>
      </c>
      <c r="K71" s="11">
        <v>0.1</v>
      </c>
      <c r="L71" s="11" t="s">
        <v>46</v>
      </c>
    </row>
    <row r="72" ht="168.75" customHeight="1">
      <c r="A72" s="5" t="s">
        <v>242</v>
      </c>
      <c r="B72" s="7" t="s">
        <v>24</v>
      </c>
      <c r="C72" s="7" t="s">
        <v>27</v>
      </c>
      <c r="D72" s="7" t="s">
        <v>29</v>
      </c>
      <c r="E72" s="9" t="s">
        <v>29</v>
      </c>
      <c r="F72" s="9"/>
      <c r="G72" s="10"/>
      <c r="H72" s="10"/>
      <c r="I72" s="11" t="s">
        <v>43</v>
      </c>
      <c r="J72" s="11" t="s">
        <v>44</v>
      </c>
      <c r="K72" s="11">
        <v>0.1</v>
      </c>
      <c r="L72" s="11" t="s">
        <v>46</v>
      </c>
    </row>
    <row r="73" ht="169.5" customHeight="1">
      <c r="A73" s="12" t="s">
        <v>242</v>
      </c>
      <c r="B73" s="12" t="s">
        <v>48</v>
      </c>
      <c r="C73" s="12" t="s">
        <v>49</v>
      </c>
      <c r="D73" s="12" t="s">
        <v>29</v>
      </c>
      <c r="E73" s="6" t="s">
        <v>29</v>
      </c>
      <c r="F73" s="3"/>
      <c r="G73" s="3"/>
      <c r="H73" s="3"/>
      <c r="I73" s="11" t="s">
        <v>43</v>
      </c>
      <c r="J73" s="11" t="s">
        <v>50</v>
      </c>
      <c r="K73" s="11">
        <v>0.1</v>
      </c>
      <c r="L73" s="11" t="s">
        <v>46</v>
      </c>
    </row>
    <row r="74" ht="337.5" customHeight="1">
      <c r="A74" s="12" t="s">
        <v>242</v>
      </c>
      <c r="B74" s="12" t="s">
        <v>51</v>
      </c>
      <c r="C74" s="12" t="s">
        <v>52</v>
      </c>
      <c r="D74" s="13"/>
      <c r="E74" s="6" t="s">
        <v>29</v>
      </c>
      <c r="F74" s="3"/>
      <c r="G74" s="3"/>
      <c r="H74" s="3"/>
      <c r="I74" s="11" t="s">
        <v>43</v>
      </c>
      <c r="J74" s="11" t="s">
        <v>55</v>
      </c>
      <c r="K74" s="11">
        <v>0.1</v>
      </c>
      <c r="L74" s="11" t="s">
        <v>46</v>
      </c>
    </row>
    <row r="75" ht="180.75" customHeight="1">
      <c r="A75" s="12" t="s">
        <v>242</v>
      </c>
      <c r="B75" s="12" t="s">
        <v>57</v>
      </c>
      <c r="C75" s="12" t="s">
        <v>58</v>
      </c>
      <c r="D75" s="12" t="s">
        <v>29</v>
      </c>
      <c r="E75" s="6" t="s">
        <v>31</v>
      </c>
      <c r="F75" s="6" t="s">
        <v>254</v>
      </c>
      <c r="G75" s="3"/>
      <c r="H75" s="3"/>
      <c r="I75" s="11" t="s">
        <v>43</v>
      </c>
      <c r="J75" s="11" t="s">
        <v>63</v>
      </c>
      <c r="K75" s="11">
        <v>0.1</v>
      </c>
      <c r="L75" s="11" t="s">
        <v>46</v>
      </c>
    </row>
    <row r="76" ht="56.25" customHeight="1">
      <c r="A76" s="12" t="s">
        <v>242</v>
      </c>
      <c r="B76" s="12" t="s">
        <v>65</v>
      </c>
      <c r="C76" s="12" t="s">
        <v>66</v>
      </c>
      <c r="D76" s="12" t="s">
        <v>29</v>
      </c>
      <c r="E76" s="6" t="s">
        <v>31</v>
      </c>
      <c r="F76" s="6" t="s">
        <v>234</v>
      </c>
      <c r="G76" s="3"/>
      <c r="H76" s="3"/>
      <c r="I76" s="11" t="s">
        <v>43</v>
      </c>
      <c r="J76" s="11" t="s">
        <v>70</v>
      </c>
      <c r="K76" s="11">
        <v>0.1</v>
      </c>
      <c r="L76" s="11" t="s">
        <v>46</v>
      </c>
    </row>
    <row r="77" ht="59.25" customHeight="1">
      <c r="A77" s="12" t="s">
        <v>242</v>
      </c>
      <c r="B77" s="12" t="s">
        <v>72</v>
      </c>
      <c r="C77" s="12" t="s">
        <v>73</v>
      </c>
      <c r="D77" s="12" t="s">
        <v>29</v>
      </c>
      <c r="E77" s="6" t="s">
        <v>31</v>
      </c>
      <c r="F77" s="6" t="s">
        <v>267</v>
      </c>
      <c r="G77" s="3"/>
      <c r="H77" s="3"/>
      <c r="I77" s="11" t="s">
        <v>43</v>
      </c>
      <c r="J77" s="11" t="s">
        <v>81</v>
      </c>
      <c r="K77" s="11">
        <v>0.1</v>
      </c>
      <c r="L77" s="11" t="s">
        <v>46</v>
      </c>
    </row>
    <row r="78" ht="45.0" customHeight="1">
      <c r="A78" s="12" t="s">
        <v>242</v>
      </c>
      <c r="B78" s="12" t="s">
        <v>84</v>
      </c>
      <c r="C78" s="12" t="s">
        <v>85</v>
      </c>
      <c r="D78" s="12" t="s">
        <v>29</v>
      </c>
      <c r="E78" s="6" t="s">
        <v>31</v>
      </c>
      <c r="F78" s="6" t="s">
        <v>272</v>
      </c>
      <c r="G78" s="3"/>
      <c r="H78" s="3"/>
      <c r="I78" s="11" t="s">
        <v>43</v>
      </c>
      <c r="J78" s="11" t="s">
        <v>89</v>
      </c>
      <c r="K78" s="11">
        <v>0.1</v>
      </c>
      <c r="L78" s="11" t="s">
        <v>46</v>
      </c>
    </row>
    <row r="79" ht="45.0" customHeight="1">
      <c r="A79" s="12" t="s">
        <v>242</v>
      </c>
      <c r="B79" s="12" t="s">
        <v>93</v>
      </c>
      <c r="C79" s="12" t="s">
        <v>94</v>
      </c>
      <c r="D79" s="12" t="s">
        <v>29</v>
      </c>
      <c r="E79" s="6" t="s">
        <v>29</v>
      </c>
      <c r="F79" s="3"/>
      <c r="G79" s="3"/>
      <c r="H79" s="3"/>
      <c r="I79" s="11" t="s">
        <v>43</v>
      </c>
      <c r="J79" s="11" t="s">
        <v>98</v>
      </c>
      <c r="K79" s="11">
        <v>0.1</v>
      </c>
      <c r="L79" s="11" t="s">
        <v>46</v>
      </c>
    </row>
    <row r="80" ht="45.0" customHeight="1">
      <c r="A80" s="12" t="s">
        <v>242</v>
      </c>
      <c r="B80" s="12" t="s">
        <v>101</v>
      </c>
      <c r="C80" s="12" t="s">
        <v>102</v>
      </c>
      <c r="D80" s="12" t="s">
        <v>29</v>
      </c>
      <c r="E80" s="6" t="s">
        <v>29</v>
      </c>
      <c r="F80" s="3"/>
      <c r="G80" s="3"/>
      <c r="H80" s="3"/>
      <c r="I80" s="11" t="s">
        <v>43</v>
      </c>
      <c r="J80" s="11" t="s">
        <v>107</v>
      </c>
      <c r="K80" s="11">
        <v>0.1</v>
      </c>
      <c r="L80" s="11" t="s">
        <v>46</v>
      </c>
    </row>
    <row r="81" ht="45.0" customHeight="1">
      <c r="A81" s="12" t="s">
        <v>242</v>
      </c>
      <c r="B81" s="12" t="s">
        <v>109</v>
      </c>
      <c r="C81" s="12" t="s">
        <v>110</v>
      </c>
      <c r="D81" s="12" t="s">
        <v>29</v>
      </c>
      <c r="E81" s="6" t="s">
        <v>29</v>
      </c>
      <c r="F81" s="3"/>
      <c r="G81" s="3"/>
      <c r="H81" s="3"/>
      <c r="I81" s="11" t="s">
        <v>43</v>
      </c>
      <c r="J81" s="11" t="s">
        <v>114</v>
      </c>
      <c r="K81" s="11">
        <v>0.1</v>
      </c>
      <c r="L81" s="11" t="s">
        <v>46</v>
      </c>
    </row>
    <row r="82" ht="168.75" customHeight="1">
      <c r="A82" s="5" t="s">
        <v>277</v>
      </c>
      <c r="B82" s="7" t="s">
        <v>24</v>
      </c>
      <c r="C82" s="7" t="s">
        <v>27</v>
      </c>
      <c r="D82" s="7" t="s">
        <v>29</v>
      </c>
      <c r="E82" s="9" t="s">
        <v>29</v>
      </c>
      <c r="F82" s="10"/>
      <c r="G82" s="10"/>
      <c r="H82" s="10"/>
      <c r="I82" s="11" t="s">
        <v>43</v>
      </c>
      <c r="J82" s="11" t="s">
        <v>44</v>
      </c>
      <c r="K82" s="11">
        <v>0.1</v>
      </c>
      <c r="L82" s="11" t="s">
        <v>46</v>
      </c>
    </row>
    <row r="83" ht="169.5" customHeight="1">
      <c r="A83" s="12" t="s">
        <v>277</v>
      </c>
      <c r="B83" s="12" t="s">
        <v>48</v>
      </c>
      <c r="C83" s="12" t="s">
        <v>49</v>
      </c>
      <c r="D83" s="12" t="s">
        <v>29</v>
      </c>
      <c r="E83" s="6" t="s">
        <v>29</v>
      </c>
      <c r="F83" s="3"/>
      <c r="G83" s="3"/>
      <c r="H83" s="3"/>
      <c r="I83" s="11" t="s">
        <v>43</v>
      </c>
      <c r="J83" s="11" t="s">
        <v>50</v>
      </c>
      <c r="K83" s="11">
        <v>0.1</v>
      </c>
      <c r="L83" s="11" t="s">
        <v>46</v>
      </c>
    </row>
    <row r="84" ht="337.5" customHeight="1">
      <c r="A84" s="12" t="s">
        <v>277</v>
      </c>
      <c r="B84" s="12" t="s">
        <v>51</v>
      </c>
      <c r="C84" s="12" t="s">
        <v>52</v>
      </c>
      <c r="D84" s="12" t="s">
        <v>53</v>
      </c>
      <c r="E84" s="6" t="s">
        <v>29</v>
      </c>
      <c r="F84" s="6"/>
      <c r="G84" s="3"/>
      <c r="H84" s="3"/>
      <c r="I84" s="11" t="s">
        <v>43</v>
      </c>
      <c r="J84" s="11" t="s">
        <v>55</v>
      </c>
      <c r="K84" s="11">
        <v>0.1</v>
      </c>
      <c r="L84" s="11" t="s">
        <v>46</v>
      </c>
    </row>
    <row r="85" ht="180.75" customHeight="1">
      <c r="A85" s="12" t="s">
        <v>277</v>
      </c>
      <c r="B85" s="12" t="s">
        <v>57</v>
      </c>
      <c r="C85" s="12" t="s">
        <v>58</v>
      </c>
      <c r="D85" s="13"/>
      <c r="E85" s="6" t="s">
        <v>31</v>
      </c>
      <c r="F85" s="6" t="s">
        <v>278</v>
      </c>
      <c r="G85" s="3"/>
      <c r="H85" s="3"/>
      <c r="I85" s="11" t="s">
        <v>43</v>
      </c>
      <c r="J85" s="11" t="s">
        <v>63</v>
      </c>
      <c r="K85" s="11">
        <v>0.1</v>
      </c>
      <c r="L85" s="11" t="s">
        <v>46</v>
      </c>
    </row>
    <row r="86" ht="56.25" customHeight="1">
      <c r="A86" s="12" t="s">
        <v>277</v>
      </c>
      <c r="B86" s="12" t="s">
        <v>65</v>
      </c>
      <c r="C86" s="12" t="s">
        <v>66</v>
      </c>
      <c r="D86" s="12" t="s">
        <v>29</v>
      </c>
      <c r="E86" s="6" t="s">
        <v>31</v>
      </c>
      <c r="F86" s="6" t="s">
        <v>278</v>
      </c>
      <c r="G86" s="3"/>
      <c r="H86" s="3"/>
      <c r="I86" s="11" t="s">
        <v>43</v>
      </c>
      <c r="J86" s="11" t="s">
        <v>70</v>
      </c>
      <c r="K86" s="11">
        <v>0.1</v>
      </c>
      <c r="L86" s="11" t="s">
        <v>46</v>
      </c>
    </row>
    <row r="87" ht="59.25" customHeight="1">
      <c r="A87" s="12" t="s">
        <v>277</v>
      </c>
      <c r="B87" s="12" t="s">
        <v>72</v>
      </c>
      <c r="C87" s="12" t="s">
        <v>73</v>
      </c>
      <c r="D87" s="12" t="s">
        <v>29</v>
      </c>
      <c r="E87" s="6" t="s">
        <v>29</v>
      </c>
      <c r="F87" s="3"/>
      <c r="G87" s="3"/>
      <c r="H87" s="3"/>
      <c r="I87" s="11" t="s">
        <v>43</v>
      </c>
      <c r="J87" s="11" t="s">
        <v>81</v>
      </c>
      <c r="K87" s="11">
        <v>0.1</v>
      </c>
      <c r="L87" s="11" t="s">
        <v>46</v>
      </c>
    </row>
    <row r="88" ht="45.0" customHeight="1">
      <c r="A88" s="12" t="s">
        <v>277</v>
      </c>
      <c r="B88" s="12" t="s">
        <v>84</v>
      </c>
      <c r="C88" s="12" t="s">
        <v>85</v>
      </c>
      <c r="D88" s="13"/>
      <c r="E88" s="6" t="s">
        <v>29</v>
      </c>
      <c r="F88" s="3"/>
      <c r="G88" s="3"/>
      <c r="H88" s="3"/>
      <c r="I88" s="11" t="s">
        <v>43</v>
      </c>
      <c r="J88" s="11" t="s">
        <v>89</v>
      </c>
      <c r="K88" s="11">
        <v>0.1</v>
      </c>
      <c r="L88" s="11" t="s">
        <v>46</v>
      </c>
    </row>
    <row r="89" ht="45.0" customHeight="1">
      <c r="A89" s="12" t="s">
        <v>277</v>
      </c>
      <c r="B89" s="12" t="s">
        <v>93</v>
      </c>
      <c r="C89" s="12" t="s">
        <v>94</v>
      </c>
      <c r="D89" s="12" t="s">
        <v>29</v>
      </c>
      <c r="E89" s="6" t="s">
        <v>29</v>
      </c>
      <c r="F89" s="3"/>
      <c r="G89" s="3"/>
      <c r="H89" s="3"/>
      <c r="I89" s="11" t="s">
        <v>43</v>
      </c>
      <c r="J89" s="11" t="s">
        <v>98</v>
      </c>
      <c r="K89" s="11">
        <v>0.1</v>
      </c>
      <c r="L89" s="11" t="s">
        <v>46</v>
      </c>
    </row>
    <row r="90" ht="45.0" customHeight="1">
      <c r="A90" s="12" t="s">
        <v>277</v>
      </c>
      <c r="B90" s="12" t="s">
        <v>101</v>
      </c>
      <c r="C90" s="12" t="s">
        <v>102</v>
      </c>
      <c r="D90" s="12" t="s">
        <v>29</v>
      </c>
      <c r="E90" s="6" t="s">
        <v>29</v>
      </c>
      <c r="F90" s="3"/>
      <c r="G90" s="3"/>
      <c r="H90" s="3"/>
      <c r="I90" s="11" t="s">
        <v>43</v>
      </c>
      <c r="J90" s="11" t="s">
        <v>107</v>
      </c>
      <c r="K90" s="11">
        <v>0.1</v>
      </c>
      <c r="L90" s="11" t="s">
        <v>46</v>
      </c>
    </row>
    <row r="91" ht="45.0" customHeight="1">
      <c r="A91" s="12" t="s">
        <v>277</v>
      </c>
      <c r="B91" s="12" t="s">
        <v>109</v>
      </c>
      <c r="C91" s="12" t="s">
        <v>110</v>
      </c>
      <c r="D91" s="13"/>
      <c r="E91" s="6" t="s">
        <v>29</v>
      </c>
      <c r="F91" s="6"/>
      <c r="G91" s="3"/>
      <c r="H91" s="3"/>
      <c r="I91" s="11" t="s">
        <v>43</v>
      </c>
      <c r="J91" s="11" t="s">
        <v>114</v>
      </c>
      <c r="K91" s="11">
        <v>0.1</v>
      </c>
      <c r="L91" s="11" t="s">
        <v>46</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91">
    <cfRule type="expression" dxfId="0" priority="1">
      <formula>OR(AND($E2="yes",$F2=""),AND(OR($G2="unsure",LEFT($E2,13)="doesn't apply"),$H2=""),AND($F2&lt;&gt;"",$E2&lt;&gt;"yes"))</formula>
    </cfRule>
  </conditionalFormatting>
  <conditionalFormatting sqref="E2:E91">
    <cfRule type="expression" dxfId="1" priority="2">
      <formula>$E2=""</formula>
    </cfRule>
  </conditionalFormatting>
  <dataValidations>
    <dataValidation type="list" allowBlank="1" showErrorMessage="1" sqref="E2:E3 E6:E13 E16:E23 E26:E33 E36:E43 E46:E53 E56 E58:E63 E66:E73 E76:E83 E86:E91">
      <formula1>"yes,no"</formula1>
    </dataValidation>
    <dataValidation type="list" allowBlank="1" showErrorMessage="1" sqref="E5 E15 E25 E35 E45 E54 E65 E75 E85">
      <formula1>"yes,no,doesn't apply: Dani's message has no question or request"</formula1>
    </dataValidation>
    <dataValidation type="list" allowBlank="1" showErrorMessage="1" sqref="G2:G3 G5:G91">
      <formula1>"unsure"</formula1>
    </dataValidation>
    <dataValidation type="list" allowBlank="1" showErrorMessage="1" sqref="E4 E14 E24 E34 E44 E64 E74 E84">
      <formula1>"yes,no,doesn't apply: the reply gives no advice"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2" t="s">
        <v>1</v>
      </c>
      <c r="B1" s="2" t="s">
        <v>3</v>
      </c>
      <c r="C1" s="2" t="s">
        <v>4</v>
      </c>
      <c r="D1" s="2" t="s">
        <v>5</v>
      </c>
      <c r="E1" s="2" t="s">
        <v>6</v>
      </c>
      <c r="F1" s="2" t="s">
        <v>8</v>
      </c>
      <c r="G1" s="2" t="s">
        <v>9</v>
      </c>
      <c r="H1" s="2" t="s">
        <v>11</v>
      </c>
      <c r="I1" s="2" t="s">
        <v>12</v>
      </c>
      <c r="J1" s="2" t="s">
        <v>14</v>
      </c>
      <c r="K1" s="2" t="s">
        <v>16</v>
      </c>
      <c r="L1" s="2" t="s">
        <v>17</v>
      </c>
    </row>
    <row r="2" ht="168.75" customHeight="1">
      <c r="A2" s="5" t="s">
        <v>19</v>
      </c>
      <c r="B2" s="7" t="s">
        <v>24</v>
      </c>
      <c r="C2" s="7" t="s">
        <v>27</v>
      </c>
      <c r="D2" s="7" t="s">
        <v>29</v>
      </c>
      <c r="E2" s="9" t="s">
        <v>31</v>
      </c>
      <c r="F2" s="9" t="s">
        <v>35</v>
      </c>
      <c r="G2" s="10"/>
      <c r="H2" s="10"/>
      <c r="I2" s="11" t="s">
        <v>41</v>
      </c>
      <c r="J2" s="11" t="s">
        <v>44</v>
      </c>
      <c r="K2" s="11">
        <v>0.1</v>
      </c>
      <c r="L2" s="11" t="s">
        <v>46</v>
      </c>
    </row>
    <row r="3" ht="169.5" customHeight="1">
      <c r="A3" s="12" t="s">
        <v>19</v>
      </c>
      <c r="B3" s="12" t="s">
        <v>48</v>
      </c>
      <c r="C3" s="12" t="s">
        <v>49</v>
      </c>
      <c r="D3" s="12" t="s">
        <v>29</v>
      </c>
      <c r="E3" s="6" t="s">
        <v>29</v>
      </c>
      <c r="F3" s="3"/>
      <c r="G3" s="3"/>
      <c r="H3" s="3"/>
      <c r="I3" s="11" t="s">
        <v>41</v>
      </c>
      <c r="J3" s="11" t="s">
        <v>50</v>
      </c>
      <c r="K3" s="11">
        <v>0.1</v>
      </c>
      <c r="L3" s="11" t="s">
        <v>46</v>
      </c>
    </row>
    <row r="4" ht="337.5" customHeight="1">
      <c r="A4" s="12" t="s">
        <v>19</v>
      </c>
      <c r="B4" s="12" t="s">
        <v>51</v>
      </c>
      <c r="C4" s="12" t="s">
        <v>52</v>
      </c>
      <c r="D4" s="12" t="s">
        <v>53</v>
      </c>
      <c r="E4" s="6" t="s">
        <v>31</v>
      </c>
      <c r="F4" s="6" t="s">
        <v>56</v>
      </c>
      <c r="G4" s="3"/>
      <c r="H4" s="3"/>
      <c r="I4" s="11" t="s">
        <v>41</v>
      </c>
      <c r="J4" s="11" t="s">
        <v>55</v>
      </c>
      <c r="K4" s="11">
        <v>0.1</v>
      </c>
      <c r="L4" s="11" t="s">
        <v>46</v>
      </c>
    </row>
    <row r="5" ht="46.5" customHeight="1">
      <c r="A5" s="12" t="s">
        <v>19</v>
      </c>
      <c r="B5" s="12" t="s">
        <v>59</v>
      </c>
      <c r="C5" s="12" t="s">
        <v>60</v>
      </c>
      <c r="D5" s="12" t="s">
        <v>29</v>
      </c>
      <c r="E5" s="6" t="s">
        <v>31</v>
      </c>
      <c r="F5" s="6" t="s">
        <v>62</v>
      </c>
      <c r="G5" s="3"/>
      <c r="H5" s="3"/>
      <c r="I5" s="11" t="s">
        <v>41</v>
      </c>
      <c r="J5" s="11" t="s">
        <v>64</v>
      </c>
      <c r="K5" s="11">
        <v>0.1</v>
      </c>
      <c r="L5" s="11" t="s">
        <v>46</v>
      </c>
    </row>
    <row r="6" ht="45.0" customHeight="1">
      <c r="A6" s="12" t="s">
        <v>19</v>
      </c>
      <c r="B6" s="12" t="s">
        <v>67</v>
      </c>
      <c r="C6" s="12" t="s">
        <v>68</v>
      </c>
      <c r="D6" s="12" t="s">
        <v>29</v>
      </c>
      <c r="E6" s="6" t="s">
        <v>31</v>
      </c>
      <c r="F6" s="6" t="s">
        <v>71</v>
      </c>
      <c r="G6" s="3"/>
      <c r="H6" s="3"/>
      <c r="I6" s="11" t="s">
        <v>41</v>
      </c>
      <c r="J6" s="11" t="s">
        <v>74</v>
      </c>
      <c r="K6" s="11">
        <v>0.1</v>
      </c>
      <c r="L6" s="11" t="s">
        <v>46</v>
      </c>
    </row>
    <row r="7" ht="45.0" customHeight="1">
      <c r="A7" s="12" t="s">
        <v>19</v>
      </c>
      <c r="B7" s="12" t="s">
        <v>76</v>
      </c>
      <c r="C7" s="12" t="s">
        <v>77</v>
      </c>
      <c r="D7" s="12" t="s">
        <v>29</v>
      </c>
      <c r="E7" s="6" t="s">
        <v>31</v>
      </c>
      <c r="F7" s="6" t="s">
        <v>80</v>
      </c>
      <c r="G7" s="3"/>
      <c r="H7" s="3"/>
      <c r="I7" s="11" t="s">
        <v>41</v>
      </c>
      <c r="J7" s="11" t="s">
        <v>83</v>
      </c>
      <c r="K7" s="11">
        <v>0.1</v>
      </c>
      <c r="L7" s="11" t="s">
        <v>46</v>
      </c>
    </row>
    <row r="8" ht="45.0" customHeight="1">
      <c r="A8" s="12" t="s">
        <v>19</v>
      </c>
      <c r="B8" s="12" t="s">
        <v>87</v>
      </c>
      <c r="C8" s="12" t="s">
        <v>88</v>
      </c>
      <c r="D8" s="12" t="s">
        <v>29</v>
      </c>
      <c r="E8" s="6" t="s">
        <v>31</v>
      </c>
      <c r="F8" s="6" t="s">
        <v>91</v>
      </c>
      <c r="G8" s="3"/>
      <c r="H8" s="3"/>
      <c r="I8" s="11" t="s">
        <v>41</v>
      </c>
      <c r="J8" s="11" t="s">
        <v>95</v>
      </c>
      <c r="K8" s="11">
        <v>0.1</v>
      </c>
      <c r="L8" s="11" t="s">
        <v>46</v>
      </c>
    </row>
    <row r="9" ht="58.5" customHeight="1">
      <c r="A9" s="12" t="s">
        <v>19</v>
      </c>
      <c r="B9" s="12" t="s">
        <v>97</v>
      </c>
      <c r="C9" s="12" t="s">
        <v>99</v>
      </c>
      <c r="D9" s="12" t="s">
        <v>29</v>
      </c>
      <c r="E9" s="6" t="s">
        <v>29</v>
      </c>
      <c r="F9" s="3"/>
      <c r="G9" s="3"/>
      <c r="H9" s="3"/>
      <c r="I9" s="11" t="s">
        <v>41</v>
      </c>
      <c r="J9" s="11" t="s">
        <v>104</v>
      </c>
      <c r="K9" s="11">
        <v>0.1</v>
      </c>
      <c r="L9" s="11" t="s">
        <v>46</v>
      </c>
    </row>
    <row r="10" ht="168.75" customHeight="1">
      <c r="A10" s="5" t="s">
        <v>106</v>
      </c>
      <c r="B10" s="7" t="s">
        <v>24</v>
      </c>
      <c r="C10" s="7" t="s">
        <v>27</v>
      </c>
      <c r="D10" s="7" t="s">
        <v>29</v>
      </c>
      <c r="E10" s="9" t="s">
        <v>31</v>
      </c>
      <c r="F10" s="9" t="s">
        <v>112</v>
      </c>
      <c r="G10" s="10"/>
      <c r="H10" s="10"/>
      <c r="I10" s="11" t="s">
        <v>41</v>
      </c>
      <c r="J10" s="11" t="s">
        <v>44</v>
      </c>
      <c r="K10" s="11">
        <v>0.1</v>
      </c>
      <c r="L10" s="11" t="s">
        <v>46</v>
      </c>
    </row>
    <row r="11" ht="169.5" customHeight="1">
      <c r="A11" s="12" t="s">
        <v>106</v>
      </c>
      <c r="B11" s="12" t="s">
        <v>48</v>
      </c>
      <c r="C11" s="12" t="s">
        <v>49</v>
      </c>
      <c r="D11" s="12" t="s">
        <v>29</v>
      </c>
      <c r="E11" s="6" t="s">
        <v>29</v>
      </c>
      <c r="F11" s="3"/>
      <c r="G11" s="3"/>
      <c r="H11" s="3"/>
      <c r="I11" s="11" t="s">
        <v>41</v>
      </c>
      <c r="J11" s="11" t="s">
        <v>50</v>
      </c>
      <c r="K11" s="11">
        <v>0.1</v>
      </c>
      <c r="L11" s="11" t="s">
        <v>46</v>
      </c>
    </row>
    <row r="12" ht="337.5" customHeight="1">
      <c r="A12" s="12" t="s">
        <v>106</v>
      </c>
      <c r="B12" s="12" t="s">
        <v>51</v>
      </c>
      <c r="C12" s="12" t="s">
        <v>52</v>
      </c>
      <c r="D12" s="12" t="s">
        <v>53</v>
      </c>
      <c r="E12" s="6" t="s">
        <v>29</v>
      </c>
      <c r="F12" s="3"/>
      <c r="G12" s="3"/>
      <c r="H12" s="3"/>
      <c r="I12" s="11" t="s">
        <v>41</v>
      </c>
      <c r="J12" s="11" t="s">
        <v>55</v>
      </c>
      <c r="K12" s="11">
        <v>0.1</v>
      </c>
      <c r="L12" s="11" t="s">
        <v>46</v>
      </c>
    </row>
    <row r="13" ht="46.5" customHeight="1">
      <c r="A13" s="12" t="s">
        <v>106</v>
      </c>
      <c r="B13" s="12" t="s">
        <v>59</v>
      </c>
      <c r="C13" s="12" t="s">
        <v>60</v>
      </c>
      <c r="D13" s="12" t="s">
        <v>29</v>
      </c>
      <c r="E13" s="6" t="s">
        <v>31</v>
      </c>
      <c r="F13" s="6" t="s">
        <v>121</v>
      </c>
      <c r="G13" s="3"/>
      <c r="H13" s="3"/>
      <c r="I13" s="11" t="s">
        <v>41</v>
      </c>
      <c r="J13" s="11" t="s">
        <v>64</v>
      </c>
      <c r="K13" s="11">
        <v>0.1</v>
      </c>
      <c r="L13" s="11" t="s">
        <v>46</v>
      </c>
    </row>
    <row r="14" ht="45.0" customHeight="1">
      <c r="A14" s="12" t="s">
        <v>106</v>
      </c>
      <c r="B14" s="12" t="s">
        <v>67</v>
      </c>
      <c r="C14" s="12" t="s">
        <v>68</v>
      </c>
      <c r="D14" s="12" t="s">
        <v>29</v>
      </c>
      <c r="E14" s="6" t="s">
        <v>31</v>
      </c>
      <c r="F14" s="6" t="s">
        <v>126</v>
      </c>
      <c r="G14" s="3"/>
      <c r="H14" s="3"/>
      <c r="I14" s="11" t="s">
        <v>41</v>
      </c>
      <c r="J14" s="11" t="s">
        <v>74</v>
      </c>
      <c r="K14" s="11">
        <v>0.1</v>
      </c>
      <c r="L14" s="11" t="s">
        <v>46</v>
      </c>
    </row>
    <row r="15" ht="45.0" customHeight="1">
      <c r="A15" s="12" t="s">
        <v>106</v>
      </c>
      <c r="B15" s="12" t="s">
        <v>76</v>
      </c>
      <c r="C15" s="12" t="s">
        <v>77</v>
      </c>
      <c r="D15" s="12" t="s">
        <v>29</v>
      </c>
      <c r="E15" s="6" t="s">
        <v>31</v>
      </c>
      <c r="F15" s="6" t="s">
        <v>129</v>
      </c>
      <c r="G15" s="3"/>
      <c r="H15" s="3"/>
      <c r="I15" s="11" t="s">
        <v>41</v>
      </c>
      <c r="J15" s="11" t="s">
        <v>83</v>
      </c>
      <c r="K15" s="11">
        <v>0.1</v>
      </c>
      <c r="L15" s="11" t="s">
        <v>46</v>
      </c>
    </row>
    <row r="16" ht="45.0" customHeight="1">
      <c r="A16" s="12" t="s">
        <v>106</v>
      </c>
      <c r="B16" s="12" t="s">
        <v>87</v>
      </c>
      <c r="C16" s="12" t="s">
        <v>88</v>
      </c>
      <c r="D16" s="12" t="s">
        <v>29</v>
      </c>
      <c r="E16" s="6" t="s">
        <v>31</v>
      </c>
      <c r="F16" s="6" t="s">
        <v>130</v>
      </c>
      <c r="G16" s="3"/>
      <c r="H16" s="3"/>
      <c r="I16" s="11" t="s">
        <v>41</v>
      </c>
      <c r="J16" s="11" t="s">
        <v>95</v>
      </c>
      <c r="K16" s="11">
        <v>0.1</v>
      </c>
      <c r="L16" s="11" t="s">
        <v>46</v>
      </c>
    </row>
    <row r="17" ht="58.5" customHeight="1">
      <c r="A17" s="12" t="s">
        <v>106</v>
      </c>
      <c r="B17" s="12" t="s">
        <v>97</v>
      </c>
      <c r="C17" s="12" t="s">
        <v>99</v>
      </c>
      <c r="D17" s="12" t="s">
        <v>29</v>
      </c>
      <c r="E17" s="6" t="s">
        <v>29</v>
      </c>
      <c r="F17" s="3"/>
      <c r="G17" s="3"/>
      <c r="H17" s="3"/>
      <c r="I17" s="11" t="s">
        <v>41</v>
      </c>
      <c r="J17" s="11" t="s">
        <v>104</v>
      </c>
      <c r="K17" s="11">
        <v>0.1</v>
      </c>
      <c r="L17" s="11" t="s">
        <v>46</v>
      </c>
    </row>
    <row r="18" ht="168.75" customHeight="1">
      <c r="A18" s="5" t="s">
        <v>131</v>
      </c>
      <c r="B18" s="7" t="s">
        <v>24</v>
      </c>
      <c r="C18" s="7" t="s">
        <v>27</v>
      </c>
      <c r="D18" s="7" t="s">
        <v>29</v>
      </c>
      <c r="E18" s="9" t="s">
        <v>31</v>
      </c>
      <c r="F18" s="9" t="s">
        <v>132</v>
      </c>
      <c r="G18" s="10"/>
      <c r="H18" s="10"/>
      <c r="I18" s="11" t="s">
        <v>41</v>
      </c>
      <c r="J18" s="11" t="s">
        <v>44</v>
      </c>
      <c r="K18" s="11">
        <v>0.1</v>
      </c>
      <c r="L18" s="11" t="s">
        <v>46</v>
      </c>
    </row>
    <row r="19" ht="169.5" customHeight="1">
      <c r="A19" s="12" t="s">
        <v>131</v>
      </c>
      <c r="B19" s="12" t="s">
        <v>48</v>
      </c>
      <c r="C19" s="12" t="s">
        <v>49</v>
      </c>
      <c r="D19" s="12" t="s">
        <v>29</v>
      </c>
      <c r="E19" s="6" t="s">
        <v>29</v>
      </c>
      <c r="F19" s="3"/>
      <c r="G19" s="3"/>
      <c r="H19" s="3"/>
      <c r="I19" s="11" t="s">
        <v>41</v>
      </c>
      <c r="J19" s="11" t="s">
        <v>50</v>
      </c>
      <c r="K19" s="11">
        <v>0.1</v>
      </c>
      <c r="L19" s="11" t="s">
        <v>46</v>
      </c>
    </row>
    <row r="20" ht="337.5" customHeight="1">
      <c r="A20" s="12" t="s">
        <v>131</v>
      </c>
      <c r="B20" s="12" t="s">
        <v>51</v>
      </c>
      <c r="C20" s="12" t="s">
        <v>52</v>
      </c>
      <c r="D20" s="12" t="s">
        <v>53</v>
      </c>
      <c r="E20" s="6" t="s">
        <v>29</v>
      </c>
      <c r="F20" s="3"/>
      <c r="G20" s="3"/>
      <c r="H20" s="3"/>
      <c r="I20" s="11" t="s">
        <v>41</v>
      </c>
      <c r="J20" s="11" t="s">
        <v>55</v>
      </c>
      <c r="K20" s="11">
        <v>0.1</v>
      </c>
      <c r="L20" s="11" t="s">
        <v>46</v>
      </c>
    </row>
    <row r="21" ht="46.5" customHeight="1">
      <c r="A21" s="12" t="s">
        <v>131</v>
      </c>
      <c r="B21" s="12" t="s">
        <v>59</v>
      </c>
      <c r="C21" s="12" t="s">
        <v>60</v>
      </c>
      <c r="D21" s="12" t="s">
        <v>29</v>
      </c>
      <c r="E21" s="6" t="s">
        <v>31</v>
      </c>
      <c r="F21" s="6" t="s">
        <v>135</v>
      </c>
      <c r="G21" s="3"/>
      <c r="H21" s="3"/>
      <c r="I21" s="11" t="s">
        <v>41</v>
      </c>
      <c r="J21" s="11" t="s">
        <v>64</v>
      </c>
      <c r="K21" s="11">
        <v>0.1</v>
      </c>
      <c r="L21" s="11" t="s">
        <v>46</v>
      </c>
    </row>
    <row r="22" ht="45.0" customHeight="1">
      <c r="A22" s="12" t="s">
        <v>131</v>
      </c>
      <c r="B22" s="12" t="s">
        <v>67</v>
      </c>
      <c r="C22" s="12" t="s">
        <v>68</v>
      </c>
      <c r="D22" s="13" t="s">
        <v>137</v>
      </c>
      <c r="E22" s="6" t="s">
        <v>29</v>
      </c>
      <c r="F22" s="3"/>
      <c r="G22" s="3"/>
      <c r="H22" s="3"/>
      <c r="I22" s="11" t="s">
        <v>41</v>
      </c>
      <c r="J22" s="11" t="s">
        <v>74</v>
      </c>
      <c r="K22" s="11">
        <v>0.1</v>
      </c>
      <c r="L22" s="11" t="s">
        <v>46</v>
      </c>
    </row>
    <row r="23" ht="45.0" customHeight="1">
      <c r="A23" s="12" t="s">
        <v>131</v>
      </c>
      <c r="B23" s="12" t="s">
        <v>76</v>
      </c>
      <c r="C23" s="12" t="s">
        <v>77</v>
      </c>
      <c r="D23" s="12" t="s">
        <v>29</v>
      </c>
      <c r="E23" s="6" t="s">
        <v>29</v>
      </c>
      <c r="F23" s="3"/>
      <c r="G23" s="3"/>
      <c r="H23" s="3"/>
      <c r="I23" s="11" t="s">
        <v>41</v>
      </c>
      <c r="J23" s="11" t="s">
        <v>83</v>
      </c>
      <c r="K23" s="11">
        <v>0.1</v>
      </c>
      <c r="L23" s="11" t="s">
        <v>46</v>
      </c>
    </row>
    <row r="24" ht="45.0" customHeight="1">
      <c r="A24" s="12" t="s">
        <v>131</v>
      </c>
      <c r="B24" s="12" t="s">
        <v>87</v>
      </c>
      <c r="C24" s="12" t="s">
        <v>88</v>
      </c>
      <c r="D24" s="12" t="s">
        <v>29</v>
      </c>
      <c r="E24" s="6" t="s">
        <v>31</v>
      </c>
      <c r="F24" s="6" t="s">
        <v>139</v>
      </c>
      <c r="G24" s="3"/>
      <c r="H24" s="3"/>
      <c r="I24" s="11" t="s">
        <v>41</v>
      </c>
      <c r="J24" s="11" t="s">
        <v>95</v>
      </c>
      <c r="K24" s="11">
        <v>0.1</v>
      </c>
      <c r="L24" s="11" t="s">
        <v>46</v>
      </c>
    </row>
    <row r="25" ht="58.5" customHeight="1">
      <c r="A25" s="12" t="s">
        <v>131</v>
      </c>
      <c r="B25" s="12" t="s">
        <v>97</v>
      </c>
      <c r="C25" s="12" t="s">
        <v>99</v>
      </c>
      <c r="D25" s="12" t="s">
        <v>29</v>
      </c>
      <c r="E25" s="6" t="s">
        <v>29</v>
      </c>
      <c r="F25" s="3"/>
      <c r="G25" s="3"/>
      <c r="H25" s="3"/>
      <c r="I25" s="11" t="s">
        <v>41</v>
      </c>
      <c r="J25" s="11" t="s">
        <v>104</v>
      </c>
      <c r="K25" s="11">
        <v>0.1</v>
      </c>
      <c r="L25" s="11" t="s">
        <v>46</v>
      </c>
    </row>
    <row r="26" ht="168.75" customHeight="1">
      <c r="A26" s="5" t="s">
        <v>141</v>
      </c>
      <c r="B26" s="7" t="s">
        <v>24</v>
      </c>
      <c r="C26" s="7" t="s">
        <v>27</v>
      </c>
      <c r="D26" s="7" t="s">
        <v>29</v>
      </c>
      <c r="E26" s="9" t="s">
        <v>31</v>
      </c>
      <c r="F26" s="9" t="s">
        <v>142</v>
      </c>
      <c r="G26" s="10"/>
      <c r="H26" s="10"/>
      <c r="I26" s="11" t="s">
        <v>41</v>
      </c>
      <c r="J26" s="11" t="s">
        <v>44</v>
      </c>
      <c r="K26" s="11">
        <v>0.1</v>
      </c>
      <c r="L26" s="11" t="s">
        <v>46</v>
      </c>
    </row>
    <row r="27" ht="169.5" customHeight="1">
      <c r="A27" s="12" t="s">
        <v>141</v>
      </c>
      <c r="B27" s="12" t="s">
        <v>48</v>
      </c>
      <c r="C27" s="12" t="s">
        <v>49</v>
      </c>
      <c r="D27" s="12" t="s">
        <v>29</v>
      </c>
      <c r="E27" s="6" t="s">
        <v>29</v>
      </c>
      <c r="F27" s="3"/>
      <c r="G27" s="3"/>
      <c r="H27" s="3"/>
      <c r="I27" s="11" t="s">
        <v>41</v>
      </c>
      <c r="J27" s="11" t="s">
        <v>50</v>
      </c>
      <c r="K27" s="11">
        <v>0.1</v>
      </c>
      <c r="L27" s="11" t="s">
        <v>46</v>
      </c>
    </row>
    <row r="28" ht="337.5" customHeight="1">
      <c r="A28" s="12" t="s">
        <v>141</v>
      </c>
      <c r="B28" s="12" t="s">
        <v>51</v>
      </c>
      <c r="C28" s="12" t="s">
        <v>52</v>
      </c>
      <c r="D28" s="12" t="s">
        <v>53</v>
      </c>
      <c r="E28" s="6" t="s">
        <v>29</v>
      </c>
      <c r="F28" s="3"/>
      <c r="G28" s="3"/>
      <c r="H28" s="3"/>
      <c r="I28" s="11" t="s">
        <v>41</v>
      </c>
      <c r="J28" s="11" t="s">
        <v>55</v>
      </c>
      <c r="K28" s="11">
        <v>0.1</v>
      </c>
      <c r="L28" s="11" t="s">
        <v>46</v>
      </c>
    </row>
    <row r="29" ht="46.5" customHeight="1">
      <c r="A29" s="12" t="s">
        <v>141</v>
      </c>
      <c r="B29" s="12" t="s">
        <v>59</v>
      </c>
      <c r="C29" s="12" t="s">
        <v>60</v>
      </c>
      <c r="D29" s="12" t="s">
        <v>29</v>
      </c>
      <c r="E29" s="6" t="s">
        <v>31</v>
      </c>
      <c r="F29" s="6" t="s">
        <v>145</v>
      </c>
      <c r="G29" s="3"/>
      <c r="H29" s="3"/>
      <c r="I29" s="11" t="s">
        <v>41</v>
      </c>
      <c r="J29" s="11" t="s">
        <v>64</v>
      </c>
      <c r="K29" s="11">
        <v>0.1</v>
      </c>
      <c r="L29" s="11" t="s">
        <v>46</v>
      </c>
    </row>
    <row r="30" ht="45.0" customHeight="1">
      <c r="A30" s="12" t="s">
        <v>141</v>
      </c>
      <c r="B30" s="12" t="s">
        <v>67</v>
      </c>
      <c r="C30" s="12" t="s">
        <v>68</v>
      </c>
      <c r="D30" s="12" t="s">
        <v>29</v>
      </c>
      <c r="E30" s="6" t="s">
        <v>31</v>
      </c>
      <c r="F30" s="6" t="s">
        <v>146</v>
      </c>
      <c r="G30" s="3"/>
      <c r="H30" s="3"/>
      <c r="I30" s="11" t="s">
        <v>41</v>
      </c>
      <c r="J30" s="11" t="s">
        <v>74</v>
      </c>
      <c r="K30" s="11">
        <v>0.1</v>
      </c>
      <c r="L30" s="11" t="s">
        <v>46</v>
      </c>
    </row>
    <row r="31" ht="45.0" customHeight="1">
      <c r="A31" s="12" t="s">
        <v>141</v>
      </c>
      <c r="B31" s="12" t="s">
        <v>76</v>
      </c>
      <c r="C31" s="12" t="s">
        <v>77</v>
      </c>
      <c r="D31" s="12" t="s">
        <v>29</v>
      </c>
      <c r="E31" s="6" t="s">
        <v>31</v>
      </c>
      <c r="F31" s="6" t="s">
        <v>149</v>
      </c>
      <c r="G31" s="3"/>
      <c r="H31" s="3"/>
      <c r="I31" s="11" t="s">
        <v>41</v>
      </c>
      <c r="J31" s="11" t="s">
        <v>83</v>
      </c>
      <c r="K31" s="11">
        <v>0.1</v>
      </c>
      <c r="L31" s="11" t="s">
        <v>46</v>
      </c>
    </row>
    <row r="32" ht="45.0" customHeight="1">
      <c r="A32" s="12" t="s">
        <v>141</v>
      </c>
      <c r="B32" s="12" t="s">
        <v>87</v>
      </c>
      <c r="C32" s="12" t="s">
        <v>88</v>
      </c>
      <c r="D32" s="12" t="s">
        <v>29</v>
      </c>
      <c r="E32" s="6" t="s">
        <v>31</v>
      </c>
      <c r="F32" s="6" t="s">
        <v>153</v>
      </c>
      <c r="G32" s="3"/>
      <c r="H32" s="3"/>
      <c r="I32" s="11" t="s">
        <v>41</v>
      </c>
      <c r="J32" s="11" t="s">
        <v>95</v>
      </c>
      <c r="K32" s="11">
        <v>0.1</v>
      </c>
      <c r="L32" s="11" t="s">
        <v>46</v>
      </c>
    </row>
    <row r="33" ht="58.5" customHeight="1">
      <c r="A33" s="12" t="s">
        <v>141</v>
      </c>
      <c r="B33" s="12" t="s">
        <v>97</v>
      </c>
      <c r="C33" s="12" t="s">
        <v>99</v>
      </c>
      <c r="D33" s="12" t="s">
        <v>29</v>
      </c>
      <c r="E33" s="6" t="s">
        <v>29</v>
      </c>
      <c r="F33" s="3"/>
      <c r="G33" s="3"/>
      <c r="H33" s="3"/>
      <c r="I33" s="11" t="s">
        <v>41</v>
      </c>
      <c r="J33" s="11" t="s">
        <v>104</v>
      </c>
      <c r="K33" s="11">
        <v>0.1</v>
      </c>
      <c r="L33" s="11" t="s">
        <v>46</v>
      </c>
    </row>
    <row r="34" ht="168.75" customHeight="1">
      <c r="A34" s="5" t="s">
        <v>157</v>
      </c>
      <c r="B34" s="7" t="s">
        <v>24</v>
      </c>
      <c r="C34" s="7" t="s">
        <v>27</v>
      </c>
      <c r="D34" s="7" t="s">
        <v>29</v>
      </c>
      <c r="E34" s="9" t="s">
        <v>31</v>
      </c>
      <c r="F34" s="9" t="s">
        <v>158</v>
      </c>
      <c r="G34" s="10"/>
      <c r="H34" s="10"/>
      <c r="I34" s="11" t="s">
        <v>41</v>
      </c>
      <c r="J34" s="11" t="s">
        <v>44</v>
      </c>
      <c r="K34" s="11">
        <v>0.1</v>
      </c>
      <c r="L34" s="11" t="s">
        <v>46</v>
      </c>
    </row>
    <row r="35" ht="169.5" customHeight="1">
      <c r="A35" s="12" t="s">
        <v>157</v>
      </c>
      <c r="B35" s="12" t="s">
        <v>48</v>
      </c>
      <c r="C35" s="12" t="s">
        <v>49</v>
      </c>
      <c r="D35" s="12" t="s">
        <v>29</v>
      </c>
      <c r="E35" s="6" t="s">
        <v>29</v>
      </c>
      <c r="F35" s="3"/>
      <c r="G35" s="3"/>
      <c r="H35" s="3"/>
      <c r="I35" s="11" t="s">
        <v>41</v>
      </c>
      <c r="J35" s="11" t="s">
        <v>50</v>
      </c>
      <c r="K35" s="11">
        <v>0.1</v>
      </c>
      <c r="L35" s="11" t="s">
        <v>46</v>
      </c>
    </row>
    <row r="36" ht="337.5" customHeight="1">
      <c r="A36" s="12" t="s">
        <v>157</v>
      </c>
      <c r="B36" s="12" t="s">
        <v>51</v>
      </c>
      <c r="C36" s="12" t="s">
        <v>52</v>
      </c>
      <c r="D36" s="12" t="s">
        <v>53</v>
      </c>
      <c r="E36" s="6" t="s">
        <v>31</v>
      </c>
      <c r="F36" s="6" t="s">
        <v>165</v>
      </c>
      <c r="G36" s="3"/>
      <c r="H36" s="3"/>
      <c r="I36" s="11" t="s">
        <v>41</v>
      </c>
      <c r="J36" s="11" t="s">
        <v>55</v>
      </c>
      <c r="K36" s="11">
        <v>0.1</v>
      </c>
      <c r="L36" s="11" t="s">
        <v>46</v>
      </c>
    </row>
    <row r="37" ht="46.5" customHeight="1">
      <c r="A37" s="12" t="s">
        <v>157</v>
      </c>
      <c r="B37" s="12" t="s">
        <v>59</v>
      </c>
      <c r="C37" s="12" t="s">
        <v>60</v>
      </c>
      <c r="D37" s="12" t="s">
        <v>29</v>
      </c>
      <c r="E37" s="6" t="s">
        <v>31</v>
      </c>
      <c r="F37" s="6" t="s">
        <v>171</v>
      </c>
      <c r="G37" s="3"/>
      <c r="H37" s="3"/>
      <c r="I37" s="11" t="s">
        <v>41</v>
      </c>
      <c r="J37" s="11" t="s">
        <v>64</v>
      </c>
      <c r="K37" s="11">
        <v>0.1</v>
      </c>
      <c r="L37" s="11" t="s">
        <v>46</v>
      </c>
    </row>
    <row r="38" ht="45.0" customHeight="1">
      <c r="A38" s="12" t="s">
        <v>157</v>
      </c>
      <c r="B38" s="12" t="s">
        <v>67</v>
      </c>
      <c r="C38" s="12" t="s">
        <v>68</v>
      </c>
      <c r="D38" s="12" t="s">
        <v>29</v>
      </c>
      <c r="E38" s="6" t="s">
        <v>31</v>
      </c>
      <c r="F38" s="6" t="s">
        <v>175</v>
      </c>
      <c r="G38" s="3"/>
      <c r="H38" s="3"/>
      <c r="I38" s="11" t="s">
        <v>41</v>
      </c>
      <c r="J38" s="11" t="s">
        <v>74</v>
      </c>
      <c r="K38" s="11">
        <v>0.1</v>
      </c>
      <c r="L38" s="11" t="s">
        <v>46</v>
      </c>
    </row>
    <row r="39" ht="45.0" customHeight="1">
      <c r="A39" s="12" t="s">
        <v>157</v>
      </c>
      <c r="B39" s="12" t="s">
        <v>76</v>
      </c>
      <c r="C39" s="12" t="s">
        <v>77</v>
      </c>
      <c r="D39" s="12" t="s">
        <v>29</v>
      </c>
      <c r="E39" s="6" t="s">
        <v>31</v>
      </c>
      <c r="F39" s="6" t="s">
        <v>178</v>
      </c>
      <c r="G39" s="3"/>
      <c r="H39" s="3"/>
      <c r="I39" s="11" t="s">
        <v>41</v>
      </c>
      <c r="J39" s="11" t="s">
        <v>83</v>
      </c>
      <c r="K39" s="11">
        <v>0.1</v>
      </c>
      <c r="L39" s="11" t="s">
        <v>46</v>
      </c>
    </row>
    <row r="40" ht="45.0" customHeight="1">
      <c r="A40" s="12" t="s">
        <v>157</v>
      </c>
      <c r="B40" s="12" t="s">
        <v>87</v>
      </c>
      <c r="C40" s="12" t="s">
        <v>88</v>
      </c>
      <c r="D40" s="12" t="s">
        <v>29</v>
      </c>
      <c r="E40" s="6" t="s">
        <v>31</v>
      </c>
      <c r="F40" s="6" t="s">
        <v>180</v>
      </c>
      <c r="G40" s="3"/>
      <c r="H40" s="3"/>
      <c r="I40" s="11" t="s">
        <v>41</v>
      </c>
      <c r="J40" s="11" t="s">
        <v>95</v>
      </c>
      <c r="K40" s="11">
        <v>0.1</v>
      </c>
      <c r="L40" s="11" t="s">
        <v>46</v>
      </c>
    </row>
    <row r="41" ht="58.5" customHeight="1">
      <c r="A41" s="12" t="s">
        <v>157</v>
      </c>
      <c r="B41" s="12" t="s">
        <v>97</v>
      </c>
      <c r="C41" s="12" t="s">
        <v>99</v>
      </c>
      <c r="D41" s="12" t="s">
        <v>29</v>
      </c>
      <c r="E41" s="6" t="s">
        <v>29</v>
      </c>
      <c r="F41" s="3"/>
      <c r="G41" s="3"/>
      <c r="H41" s="3"/>
      <c r="I41" s="11" t="s">
        <v>41</v>
      </c>
      <c r="J41" s="11" t="s">
        <v>104</v>
      </c>
      <c r="K41" s="11">
        <v>0.1</v>
      </c>
      <c r="L41" s="11" t="s">
        <v>46</v>
      </c>
    </row>
    <row r="42" ht="168.75" customHeight="1">
      <c r="A42" s="5" t="s">
        <v>183</v>
      </c>
      <c r="B42" s="7" t="s">
        <v>24</v>
      </c>
      <c r="C42" s="7" t="s">
        <v>27</v>
      </c>
      <c r="D42" s="7" t="s">
        <v>29</v>
      </c>
      <c r="E42" s="9" t="s">
        <v>31</v>
      </c>
      <c r="F42" s="9" t="s">
        <v>185</v>
      </c>
      <c r="G42" s="10"/>
      <c r="H42" s="10"/>
      <c r="I42" s="11" t="s">
        <v>41</v>
      </c>
      <c r="J42" s="11" t="s">
        <v>44</v>
      </c>
      <c r="K42" s="11">
        <v>0.1</v>
      </c>
      <c r="L42" s="11" t="s">
        <v>46</v>
      </c>
    </row>
    <row r="43" ht="169.5" customHeight="1">
      <c r="A43" s="12" t="s">
        <v>183</v>
      </c>
      <c r="B43" s="12" t="s">
        <v>48</v>
      </c>
      <c r="C43" s="12" t="s">
        <v>49</v>
      </c>
      <c r="D43" s="12" t="s">
        <v>29</v>
      </c>
      <c r="E43" s="6" t="s">
        <v>29</v>
      </c>
      <c r="F43" s="3"/>
      <c r="G43" s="3"/>
      <c r="H43" s="3"/>
      <c r="I43" s="11" t="s">
        <v>41</v>
      </c>
      <c r="J43" s="11" t="s">
        <v>50</v>
      </c>
      <c r="K43" s="11">
        <v>0.1</v>
      </c>
      <c r="L43" s="11" t="s">
        <v>46</v>
      </c>
    </row>
    <row r="44" ht="337.5" customHeight="1">
      <c r="A44" s="12" t="s">
        <v>183</v>
      </c>
      <c r="B44" s="12" t="s">
        <v>51</v>
      </c>
      <c r="C44" s="12" t="s">
        <v>52</v>
      </c>
      <c r="D44" s="12" t="s">
        <v>53</v>
      </c>
      <c r="E44" s="6" t="s">
        <v>31</v>
      </c>
      <c r="F44" s="6" t="s">
        <v>188</v>
      </c>
      <c r="G44" s="3"/>
      <c r="H44" s="3"/>
      <c r="I44" s="11" t="s">
        <v>41</v>
      </c>
      <c r="J44" s="11" t="s">
        <v>55</v>
      </c>
      <c r="K44" s="11">
        <v>0.1</v>
      </c>
      <c r="L44" s="11" t="s">
        <v>46</v>
      </c>
    </row>
    <row r="45" ht="46.5" customHeight="1">
      <c r="A45" s="12" t="s">
        <v>183</v>
      </c>
      <c r="B45" s="12" t="s">
        <v>59</v>
      </c>
      <c r="C45" s="12" t="s">
        <v>60</v>
      </c>
      <c r="D45" s="12" t="s">
        <v>29</v>
      </c>
      <c r="E45" s="6" t="s">
        <v>31</v>
      </c>
      <c r="F45" s="6" t="s">
        <v>190</v>
      </c>
      <c r="G45" s="3"/>
      <c r="H45" s="3"/>
      <c r="I45" s="11" t="s">
        <v>41</v>
      </c>
      <c r="J45" s="11" t="s">
        <v>64</v>
      </c>
      <c r="K45" s="11">
        <v>0.1</v>
      </c>
      <c r="L45" s="11" t="s">
        <v>46</v>
      </c>
    </row>
    <row r="46" ht="45.0" customHeight="1">
      <c r="A46" s="12" t="s">
        <v>183</v>
      </c>
      <c r="B46" s="12" t="s">
        <v>67</v>
      </c>
      <c r="C46" s="12" t="s">
        <v>68</v>
      </c>
      <c r="D46" s="12" t="s">
        <v>29</v>
      </c>
      <c r="E46" s="6" t="s">
        <v>31</v>
      </c>
      <c r="F46" s="6" t="s">
        <v>191</v>
      </c>
      <c r="G46" s="3"/>
      <c r="H46" s="3"/>
      <c r="I46" s="11" t="s">
        <v>41</v>
      </c>
      <c r="J46" s="11" t="s">
        <v>74</v>
      </c>
      <c r="K46" s="11">
        <v>0.1</v>
      </c>
      <c r="L46" s="11" t="s">
        <v>46</v>
      </c>
    </row>
    <row r="47" ht="45.0" customHeight="1">
      <c r="A47" s="12" t="s">
        <v>183</v>
      </c>
      <c r="B47" s="12" t="s">
        <v>76</v>
      </c>
      <c r="C47" s="12" t="s">
        <v>77</v>
      </c>
      <c r="D47" s="12" t="s">
        <v>29</v>
      </c>
      <c r="E47" s="6" t="s">
        <v>29</v>
      </c>
      <c r="F47" s="3"/>
      <c r="G47" s="3"/>
      <c r="H47" s="3"/>
      <c r="I47" s="11" t="s">
        <v>41</v>
      </c>
      <c r="J47" s="11" t="s">
        <v>83</v>
      </c>
      <c r="K47" s="11">
        <v>0.1</v>
      </c>
      <c r="L47" s="11" t="s">
        <v>46</v>
      </c>
    </row>
    <row r="48" ht="45.0" customHeight="1">
      <c r="A48" s="12" t="s">
        <v>183</v>
      </c>
      <c r="B48" s="12" t="s">
        <v>87</v>
      </c>
      <c r="C48" s="12" t="s">
        <v>88</v>
      </c>
      <c r="D48" s="12" t="s">
        <v>29</v>
      </c>
      <c r="E48" s="6" t="s">
        <v>31</v>
      </c>
      <c r="F48" s="6" t="s">
        <v>194</v>
      </c>
      <c r="G48" s="3"/>
      <c r="H48" s="3"/>
      <c r="I48" s="11" t="s">
        <v>41</v>
      </c>
      <c r="J48" s="11" t="s">
        <v>95</v>
      </c>
      <c r="K48" s="11">
        <v>0.1</v>
      </c>
      <c r="L48" s="11" t="s">
        <v>46</v>
      </c>
    </row>
    <row r="49" ht="58.5" customHeight="1">
      <c r="A49" s="12" t="s">
        <v>183</v>
      </c>
      <c r="B49" s="12" t="s">
        <v>97</v>
      </c>
      <c r="C49" s="12" t="s">
        <v>99</v>
      </c>
      <c r="D49" s="12" t="s">
        <v>29</v>
      </c>
      <c r="E49" s="6" t="s">
        <v>29</v>
      </c>
      <c r="F49" s="3"/>
      <c r="G49" s="3"/>
      <c r="H49" s="3"/>
      <c r="I49" s="11" t="s">
        <v>41</v>
      </c>
      <c r="J49" s="11" t="s">
        <v>104</v>
      </c>
      <c r="K49" s="11">
        <v>0.1</v>
      </c>
      <c r="L49" s="11" t="s">
        <v>46</v>
      </c>
    </row>
    <row r="50" ht="168.75" customHeight="1">
      <c r="A50" s="5" t="s">
        <v>198</v>
      </c>
      <c r="B50" s="7" t="s">
        <v>24</v>
      </c>
      <c r="C50" s="7" t="s">
        <v>27</v>
      </c>
      <c r="D50" s="7" t="s">
        <v>29</v>
      </c>
      <c r="E50" s="9" t="s">
        <v>31</v>
      </c>
      <c r="F50" s="9" t="s">
        <v>199</v>
      </c>
      <c r="G50" s="10"/>
      <c r="H50" s="10"/>
      <c r="I50" s="11" t="s">
        <v>41</v>
      </c>
      <c r="J50" s="11" t="s">
        <v>44</v>
      </c>
      <c r="K50" s="11">
        <v>0.1</v>
      </c>
      <c r="L50" s="11" t="s">
        <v>46</v>
      </c>
    </row>
    <row r="51" ht="169.5" customHeight="1">
      <c r="A51" s="12" t="s">
        <v>198</v>
      </c>
      <c r="B51" s="12" t="s">
        <v>48</v>
      </c>
      <c r="C51" s="12" t="s">
        <v>49</v>
      </c>
      <c r="D51" s="12" t="s">
        <v>29</v>
      </c>
      <c r="E51" s="6" t="s">
        <v>29</v>
      </c>
      <c r="F51" s="3"/>
      <c r="G51" s="3"/>
      <c r="H51" s="3"/>
      <c r="I51" s="11" t="s">
        <v>41</v>
      </c>
      <c r="J51" s="11" t="s">
        <v>50</v>
      </c>
      <c r="K51" s="11">
        <v>0.1</v>
      </c>
      <c r="L51" s="11" t="s">
        <v>46</v>
      </c>
    </row>
    <row r="52" ht="337.5" customHeight="1">
      <c r="A52" s="12" t="s">
        <v>198</v>
      </c>
      <c r="B52" s="12" t="s">
        <v>51</v>
      </c>
      <c r="C52" s="12" t="s">
        <v>52</v>
      </c>
      <c r="D52" s="12" t="s">
        <v>53</v>
      </c>
      <c r="E52" s="6" t="s">
        <v>31</v>
      </c>
      <c r="F52" s="6" t="s">
        <v>203</v>
      </c>
      <c r="G52" s="3"/>
      <c r="H52" s="3"/>
      <c r="I52" s="11" t="s">
        <v>41</v>
      </c>
      <c r="J52" s="11" t="s">
        <v>55</v>
      </c>
      <c r="K52" s="11">
        <v>0.1</v>
      </c>
      <c r="L52" s="11" t="s">
        <v>46</v>
      </c>
    </row>
    <row r="53" ht="46.5" customHeight="1">
      <c r="A53" s="12" t="s">
        <v>198</v>
      </c>
      <c r="B53" s="12" t="s">
        <v>59</v>
      </c>
      <c r="C53" s="12" t="s">
        <v>60</v>
      </c>
      <c r="D53" s="12" t="s">
        <v>29</v>
      </c>
      <c r="E53" s="6" t="s">
        <v>31</v>
      </c>
      <c r="F53" s="6" t="s">
        <v>206</v>
      </c>
      <c r="G53" s="3"/>
      <c r="H53" s="3"/>
      <c r="I53" s="11" t="s">
        <v>41</v>
      </c>
      <c r="J53" s="11" t="s">
        <v>64</v>
      </c>
      <c r="K53" s="11">
        <v>0.1</v>
      </c>
      <c r="L53" s="11" t="s">
        <v>46</v>
      </c>
    </row>
    <row r="54" ht="45.0" customHeight="1">
      <c r="A54" s="12" t="s">
        <v>198</v>
      </c>
      <c r="B54" s="12" t="s">
        <v>67</v>
      </c>
      <c r="C54" s="12" t="s">
        <v>68</v>
      </c>
      <c r="D54" s="12" t="s">
        <v>29</v>
      </c>
      <c r="E54" s="6" t="s">
        <v>31</v>
      </c>
      <c r="F54" s="6" t="s">
        <v>208</v>
      </c>
      <c r="G54" s="3"/>
      <c r="H54" s="3"/>
      <c r="I54" s="11" t="s">
        <v>41</v>
      </c>
      <c r="J54" s="11" t="s">
        <v>74</v>
      </c>
      <c r="K54" s="11">
        <v>0.1</v>
      </c>
      <c r="L54" s="11" t="s">
        <v>46</v>
      </c>
    </row>
    <row r="55" ht="45.0" customHeight="1">
      <c r="A55" s="12" t="s">
        <v>198</v>
      </c>
      <c r="B55" s="12" t="s">
        <v>76</v>
      </c>
      <c r="C55" s="12" t="s">
        <v>77</v>
      </c>
      <c r="D55" s="12" t="s">
        <v>29</v>
      </c>
      <c r="E55" s="6" t="s">
        <v>31</v>
      </c>
      <c r="F55" s="6" t="s">
        <v>209</v>
      </c>
      <c r="G55" s="3"/>
      <c r="H55" s="3"/>
      <c r="I55" s="11" t="s">
        <v>41</v>
      </c>
      <c r="J55" s="11" t="s">
        <v>83</v>
      </c>
      <c r="K55" s="11">
        <v>0.1</v>
      </c>
      <c r="L55" s="11" t="s">
        <v>46</v>
      </c>
    </row>
    <row r="56" ht="45.0" customHeight="1">
      <c r="A56" s="12" t="s">
        <v>198</v>
      </c>
      <c r="B56" s="12" t="s">
        <v>87</v>
      </c>
      <c r="C56" s="12" t="s">
        <v>88</v>
      </c>
      <c r="D56" s="12" t="s">
        <v>29</v>
      </c>
      <c r="E56" s="6" t="s">
        <v>29</v>
      </c>
      <c r="F56" s="3"/>
      <c r="G56" s="3"/>
      <c r="H56" s="3"/>
      <c r="I56" s="11" t="s">
        <v>41</v>
      </c>
      <c r="J56" s="11" t="s">
        <v>95</v>
      </c>
      <c r="K56" s="11">
        <v>0.1</v>
      </c>
      <c r="L56" s="11" t="s">
        <v>46</v>
      </c>
    </row>
    <row r="57" ht="58.5" customHeight="1">
      <c r="A57" s="12" t="s">
        <v>198</v>
      </c>
      <c r="B57" s="12" t="s">
        <v>97</v>
      </c>
      <c r="C57" s="12" t="s">
        <v>99</v>
      </c>
      <c r="D57" s="12" t="s">
        <v>29</v>
      </c>
      <c r="E57" s="6" t="s">
        <v>29</v>
      </c>
      <c r="F57" s="3"/>
      <c r="G57" s="3"/>
      <c r="H57" s="3"/>
      <c r="I57" s="11" t="s">
        <v>41</v>
      </c>
      <c r="J57" s="11" t="s">
        <v>104</v>
      </c>
      <c r="K57" s="11">
        <v>0.1</v>
      </c>
      <c r="L57" s="11" t="s">
        <v>46</v>
      </c>
    </row>
    <row r="58" ht="168.75" customHeight="1">
      <c r="A58" s="5" t="s">
        <v>214</v>
      </c>
      <c r="B58" s="7" t="s">
        <v>24</v>
      </c>
      <c r="C58" s="7" t="s">
        <v>27</v>
      </c>
      <c r="D58" s="7" t="s">
        <v>29</v>
      </c>
      <c r="E58" s="9" t="s">
        <v>29</v>
      </c>
      <c r="F58" s="10"/>
      <c r="G58" s="10"/>
      <c r="H58" s="10"/>
      <c r="I58" s="11" t="s">
        <v>41</v>
      </c>
      <c r="J58" s="11" t="s">
        <v>44</v>
      </c>
      <c r="K58" s="11">
        <v>0.1</v>
      </c>
      <c r="L58" s="11" t="s">
        <v>46</v>
      </c>
    </row>
    <row r="59" ht="169.5" customHeight="1">
      <c r="A59" s="12" t="s">
        <v>214</v>
      </c>
      <c r="B59" s="12" t="s">
        <v>48</v>
      </c>
      <c r="C59" s="12" t="s">
        <v>49</v>
      </c>
      <c r="D59" s="12" t="s">
        <v>29</v>
      </c>
      <c r="E59" s="6" t="s">
        <v>29</v>
      </c>
      <c r="F59" s="3"/>
      <c r="G59" s="3"/>
      <c r="H59" s="3"/>
      <c r="I59" s="11" t="s">
        <v>41</v>
      </c>
      <c r="J59" s="11" t="s">
        <v>50</v>
      </c>
      <c r="K59" s="11">
        <v>0.1</v>
      </c>
      <c r="L59" s="11" t="s">
        <v>46</v>
      </c>
    </row>
    <row r="60" ht="337.5" customHeight="1">
      <c r="A60" s="12" t="s">
        <v>214</v>
      </c>
      <c r="B60" s="12" t="s">
        <v>51</v>
      </c>
      <c r="C60" s="12" t="s">
        <v>52</v>
      </c>
      <c r="D60" s="12" t="s">
        <v>53</v>
      </c>
      <c r="E60" s="6" t="s">
        <v>31</v>
      </c>
      <c r="F60" s="6" t="s">
        <v>218</v>
      </c>
      <c r="G60" s="3"/>
      <c r="H60" s="3"/>
      <c r="I60" s="11" t="s">
        <v>41</v>
      </c>
      <c r="J60" s="11" t="s">
        <v>55</v>
      </c>
      <c r="K60" s="11">
        <v>0.1</v>
      </c>
      <c r="L60" s="11" t="s">
        <v>46</v>
      </c>
    </row>
    <row r="61" ht="46.5" customHeight="1">
      <c r="A61" s="12" t="s">
        <v>214</v>
      </c>
      <c r="B61" s="12" t="s">
        <v>59</v>
      </c>
      <c r="C61" s="12" t="s">
        <v>60</v>
      </c>
      <c r="D61" s="12" t="s">
        <v>29</v>
      </c>
      <c r="E61" s="6" t="s">
        <v>31</v>
      </c>
      <c r="F61" s="6" t="s">
        <v>219</v>
      </c>
      <c r="G61" s="3"/>
      <c r="H61" s="3"/>
      <c r="I61" s="11" t="s">
        <v>41</v>
      </c>
      <c r="J61" s="11" t="s">
        <v>64</v>
      </c>
      <c r="K61" s="11">
        <v>0.1</v>
      </c>
      <c r="L61" s="11" t="s">
        <v>46</v>
      </c>
    </row>
    <row r="62" ht="45.0" customHeight="1">
      <c r="A62" s="12" t="s">
        <v>214</v>
      </c>
      <c r="B62" s="12" t="s">
        <v>67</v>
      </c>
      <c r="C62" s="12" t="s">
        <v>68</v>
      </c>
      <c r="D62" s="12" t="s">
        <v>29</v>
      </c>
      <c r="E62" s="6" t="s">
        <v>31</v>
      </c>
      <c r="F62" s="6" t="s">
        <v>222</v>
      </c>
      <c r="G62" s="3"/>
      <c r="H62" s="3"/>
      <c r="I62" s="11" t="s">
        <v>41</v>
      </c>
      <c r="J62" s="11" t="s">
        <v>74</v>
      </c>
      <c r="K62" s="11">
        <v>0.1</v>
      </c>
      <c r="L62" s="11" t="s">
        <v>46</v>
      </c>
    </row>
    <row r="63" ht="45.0" customHeight="1">
      <c r="A63" s="12" t="s">
        <v>214</v>
      </c>
      <c r="B63" s="12" t="s">
        <v>76</v>
      </c>
      <c r="C63" s="12" t="s">
        <v>77</v>
      </c>
      <c r="D63" s="12" t="s">
        <v>29</v>
      </c>
      <c r="E63" s="6" t="s">
        <v>29</v>
      </c>
      <c r="F63" s="3"/>
      <c r="G63" s="3"/>
      <c r="H63" s="3"/>
      <c r="I63" s="11" t="s">
        <v>41</v>
      </c>
      <c r="J63" s="11" t="s">
        <v>83</v>
      </c>
      <c r="K63" s="11">
        <v>0.1</v>
      </c>
      <c r="L63" s="11" t="s">
        <v>46</v>
      </c>
    </row>
    <row r="64" ht="45.0" customHeight="1">
      <c r="A64" s="12" t="s">
        <v>214</v>
      </c>
      <c r="B64" s="12" t="s">
        <v>87</v>
      </c>
      <c r="C64" s="12" t="s">
        <v>88</v>
      </c>
      <c r="D64" s="12" t="s">
        <v>29</v>
      </c>
      <c r="E64" s="6" t="s">
        <v>31</v>
      </c>
      <c r="F64" s="6" t="s">
        <v>224</v>
      </c>
      <c r="G64" s="3"/>
      <c r="H64" s="3"/>
      <c r="I64" s="11" t="s">
        <v>41</v>
      </c>
      <c r="J64" s="11" t="s">
        <v>95</v>
      </c>
      <c r="K64" s="11">
        <v>0.1</v>
      </c>
      <c r="L64" s="11" t="s">
        <v>46</v>
      </c>
    </row>
    <row r="65" ht="58.5" customHeight="1">
      <c r="A65" s="12" t="s">
        <v>214</v>
      </c>
      <c r="B65" s="12" t="s">
        <v>97</v>
      </c>
      <c r="C65" s="12" t="s">
        <v>99</v>
      </c>
      <c r="D65" s="12" t="s">
        <v>29</v>
      </c>
      <c r="E65" s="6" t="s">
        <v>29</v>
      </c>
      <c r="F65" s="3"/>
      <c r="G65" s="3"/>
      <c r="H65" s="3"/>
      <c r="I65" s="11" t="s">
        <v>41</v>
      </c>
      <c r="J65" s="11" t="s">
        <v>104</v>
      </c>
      <c r="K65" s="11">
        <v>0.1</v>
      </c>
      <c r="L65" s="11" t="s">
        <v>46</v>
      </c>
    </row>
    <row r="66" ht="168.75" customHeight="1">
      <c r="A66" s="5" t="s">
        <v>226</v>
      </c>
      <c r="B66" s="7" t="s">
        <v>24</v>
      </c>
      <c r="C66" s="7" t="s">
        <v>27</v>
      </c>
      <c r="D66" s="7" t="s">
        <v>29</v>
      </c>
      <c r="E66" s="9" t="s">
        <v>31</v>
      </c>
      <c r="F66" s="9" t="s">
        <v>227</v>
      </c>
      <c r="G66" s="10"/>
      <c r="H66" s="10"/>
      <c r="I66" s="11" t="s">
        <v>41</v>
      </c>
      <c r="J66" s="11" t="s">
        <v>44</v>
      </c>
      <c r="K66" s="11">
        <v>0.1</v>
      </c>
      <c r="L66" s="11" t="s">
        <v>46</v>
      </c>
    </row>
    <row r="67" ht="169.5" customHeight="1">
      <c r="A67" s="12" t="s">
        <v>226</v>
      </c>
      <c r="B67" s="12" t="s">
        <v>48</v>
      </c>
      <c r="C67" s="12" t="s">
        <v>49</v>
      </c>
      <c r="D67" s="12" t="s">
        <v>29</v>
      </c>
      <c r="E67" s="6" t="s">
        <v>29</v>
      </c>
      <c r="F67" s="3"/>
      <c r="G67" s="3"/>
      <c r="H67" s="3"/>
      <c r="I67" s="11" t="s">
        <v>41</v>
      </c>
      <c r="J67" s="11" t="s">
        <v>50</v>
      </c>
      <c r="K67" s="11">
        <v>0.1</v>
      </c>
      <c r="L67" s="11" t="s">
        <v>46</v>
      </c>
    </row>
    <row r="68" ht="337.5" customHeight="1">
      <c r="A68" s="12" t="s">
        <v>226</v>
      </c>
      <c r="B68" s="12" t="s">
        <v>51</v>
      </c>
      <c r="C68" s="12" t="s">
        <v>52</v>
      </c>
      <c r="D68" s="12" t="s">
        <v>53</v>
      </c>
      <c r="E68" s="6" t="s">
        <v>31</v>
      </c>
      <c r="F68" s="6" t="s">
        <v>231</v>
      </c>
      <c r="G68" s="3"/>
      <c r="H68" s="3"/>
      <c r="I68" s="11" t="s">
        <v>41</v>
      </c>
      <c r="J68" s="11" t="s">
        <v>55</v>
      </c>
      <c r="K68" s="11">
        <v>0.1</v>
      </c>
      <c r="L68" s="11" t="s">
        <v>46</v>
      </c>
    </row>
    <row r="69" ht="46.5" customHeight="1">
      <c r="A69" s="12" t="s">
        <v>226</v>
      </c>
      <c r="B69" s="12" t="s">
        <v>59</v>
      </c>
      <c r="C69" s="12" t="s">
        <v>60</v>
      </c>
      <c r="D69" s="12" t="s">
        <v>29</v>
      </c>
      <c r="E69" s="6" t="s">
        <v>31</v>
      </c>
      <c r="F69" s="6" t="s">
        <v>233</v>
      </c>
      <c r="G69" s="3"/>
      <c r="H69" s="3"/>
      <c r="I69" s="11" t="s">
        <v>41</v>
      </c>
      <c r="J69" s="11" t="s">
        <v>64</v>
      </c>
      <c r="K69" s="11">
        <v>0.1</v>
      </c>
      <c r="L69" s="11" t="s">
        <v>46</v>
      </c>
    </row>
    <row r="70" ht="45.0" customHeight="1">
      <c r="A70" s="12" t="s">
        <v>226</v>
      </c>
      <c r="B70" s="12" t="s">
        <v>67</v>
      </c>
      <c r="C70" s="12" t="s">
        <v>68</v>
      </c>
      <c r="D70" s="12" t="s">
        <v>29</v>
      </c>
      <c r="E70" s="6" t="s">
        <v>31</v>
      </c>
      <c r="F70" s="6" t="s">
        <v>236</v>
      </c>
      <c r="G70" s="3"/>
      <c r="H70" s="3"/>
      <c r="I70" s="11" t="s">
        <v>41</v>
      </c>
      <c r="J70" s="11" t="s">
        <v>74</v>
      </c>
      <c r="K70" s="11">
        <v>0.1</v>
      </c>
      <c r="L70" s="11" t="s">
        <v>46</v>
      </c>
    </row>
    <row r="71" ht="45.0" customHeight="1">
      <c r="A71" s="12" t="s">
        <v>226</v>
      </c>
      <c r="B71" s="12" t="s">
        <v>76</v>
      </c>
      <c r="C71" s="12" t="s">
        <v>77</v>
      </c>
      <c r="D71" s="12" t="s">
        <v>29</v>
      </c>
      <c r="E71" s="6" t="s">
        <v>31</v>
      </c>
      <c r="F71" s="6" t="s">
        <v>237</v>
      </c>
      <c r="G71" s="3"/>
      <c r="H71" s="3"/>
      <c r="I71" s="11" t="s">
        <v>41</v>
      </c>
      <c r="J71" s="11" t="s">
        <v>83</v>
      </c>
      <c r="K71" s="11">
        <v>0.1</v>
      </c>
      <c r="L71" s="11" t="s">
        <v>46</v>
      </c>
    </row>
    <row r="72" ht="45.0" customHeight="1">
      <c r="A72" s="12" t="s">
        <v>226</v>
      </c>
      <c r="B72" s="12" t="s">
        <v>87</v>
      </c>
      <c r="C72" s="12" t="s">
        <v>88</v>
      </c>
      <c r="D72" s="12" t="s">
        <v>29</v>
      </c>
      <c r="E72" s="6" t="s">
        <v>29</v>
      </c>
      <c r="F72" s="3"/>
      <c r="G72" s="3"/>
      <c r="H72" s="3"/>
      <c r="I72" s="11" t="s">
        <v>41</v>
      </c>
      <c r="J72" s="11" t="s">
        <v>95</v>
      </c>
      <c r="K72" s="11">
        <v>0.1</v>
      </c>
      <c r="L72" s="11" t="s">
        <v>46</v>
      </c>
    </row>
    <row r="73" ht="58.5" customHeight="1">
      <c r="A73" s="12" t="s">
        <v>226</v>
      </c>
      <c r="B73" s="12" t="s">
        <v>97</v>
      </c>
      <c r="C73" s="12" t="s">
        <v>99</v>
      </c>
      <c r="D73" s="12" t="s">
        <v>29</v>
      </c>
      <c r="E73" s="6" t="s">
        <v>29</v>
      </c>
      <c r="F73" s="3"/>
      <c r="G73" s="3"/>
      <c r="H73" s="3"/>
      <c r="I73" s="11" t="s">
        <v>41</v>
      </c>
      <c r="J73" s="11" t="s">
        <v>104</v>
      </c>
      <c r="K73" s="11">
        <v>0.1</v>
      </c>
      <c r="L73" s="11" t="s">
        <v>46</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73">
    <cfRule type="expression" dxfId="0" priority="1">
      <formula>OR(AND($E2="yes",$F2=""),AND(OR($G2="unsure",LEFT($E2,13)="doesn't apply"),$H2=""),AND($F2&lt;&gt;"",$E2&lt;&gt;"yes"))</formula>
    </cfRule>
  </conditionalFormatting>
  <conditionalFormatting sqref="E2:E73">
    <cfRule type="expression" dxfId="1" priority="2">
      <formula>$E2=""</formula>
    </cfRule>
  </conditionalFormatting>
  <dataValidations>
    <dataValidation type="list" allowBlank="1" showErrorMessage="1" sqref="E2:E3 E5:E11 E13:E19 E21:E27 E29:E35 E37:E43 E45:E51 E53:E59 E61:E67 E69:E73">
      <formula1>"yes,no"</formula1>
    </dataValidation>
    <dataValidation type="list" allowBlank="1" showErrorMessage="1" sqref="G2:G73">
      <formula1>"unsure"</formula1>
    </dataValidation>
    <dataValidation type="list" allowBlank="1" showErrorMessage="1" sqref="E4 E12 E20 E28 E36 E44 E52 E60 E68">
      <formula1>"yes,no,doesn't apply: the reply gives no advice"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2" t="s">
        <v>1</v>
      </c>
      <c r="B1" s="2" t="s">
        <v>3</v>
      </c>
      <c r="C1" s="2" t="s">
        <v>4</v>
      </c>
      <c r="D1" s="2" t="s">
        <v>5</v>
      </c>
      <c r="E1" s="2" t="s">
        <v>6</v>
      </c>
      <c r="F1" s="2" t="s">
        <v>8</v>
      </c>
      <c r="G1" s="2" t="s">
        <v>9</v>
      </c>
      <c r="H1" s="2" t="s">
        <v>11</v>
      </c>
      <c r="I1" s="2" t="s">
        <v>12</v>
      </c>
      <c r="J1" s="2" t="s">
        <v>14</v>
      </c>
      <c r="K1" s="2" t="s">
        <v>16</v>
      </c>
      <c r="L1" s="2" t="s">
        <v>17</v>
      </c>
    </row>
    <row r="2" ht="168.75" customHeight="1">
      <c r="A2" s="5" t="s">
        <v>32</v>
      </c>
      <c r="B2" s="7" t="s">
        <v>24</v>
      </c>
      <c r="C2" s="7" t="s">
        <v>27</v>
      </c>
      <c r="D2" s="7" t="s">
        <v>29</v>
      </c>
      <c r="E2" s="9" t="s">
        <v>31</v>
      </c>
      <c r="F2" s="9" t="s">
        <v>45</v>
      </c>
      <c r="G2" s="10"/>
      <c r="H2" s="10"/>
      <c r="I2" s="11" t="s">
        <v>47</v>
      </c>
      <c r="J2" s="11" t="s">
        <v>44</v>
      </c>
      <c r="K2" s="11">
        <v>0.1</v>
      </c>
      <c r="L2" s="11" t="s">
        <v>46</v>
      </c>
    </row>
    <row r="3" ht="169.5" customHeight="1">
      <c r="A3" s="12" t="s">
        <v>32</v>
      </c>
      <c r="B3" s="12" t="s">
        <v>48</v>
      </c>
      <c r="C3" s="12" t="s">
        <v>49</v>
      </c>
      <c r="D3" s="12" t="s">
        <v>29</v>
      </c>
      <c r="E3" s="6" t="s">
        <v>29</v>
      </c>
      <c r="F3" s="3"/>
      <c r="G3" s="3"/>
      <c r="H3" s="3"/>
      <c r="I3" s="11" t="s">
        <v>47</v>
      </c>
      <c r="J3" s="11" t="s">
        <v>50</v>
      </c>
      <c r="K3" s="11">
        <v>0.1</v>
      </c>
      <c r="L3" s="11" t="s">
        <v>46</v>
      </c>
    </row>
    <row r="4" ht="337.5" customHeight="1">
      <c r="A4" s="12" t="s">
        <v>32</v>
      </c>
      <c r="B4" s="12" t="s">
        <v>51</v>
      </c>
      <c r="C4" s="12" t="s">
        <v>52</v>
      </c>
      <c r="D4" s="12" t="s">
        <v>53</v>
      </c>
      <c r="E4" s="6" t="s">
        <v>31</v>
      </c>
      <c r="F4" s="6" t="s">
        <v>69</v>
      </c>
      <c r="G4" s="3"/>
      <c r="H4" s="3"/>
      <c r="I4" s="11" t="s">
        <v>47</v>
      </c>
      <c r="J4" s="11" t="s">
        <v>55</v>
      </c>
      <c r="K4" s="11">
        <v>0.1</v>
      </c>
      <c r="L4" s="11" t="s">
        <v>46</v>
      </c>
    </row>
    <row r="5" ht="45.0" customHeight="1">
      <c r="A5" s="12" t="s">
        <v>32</v>
      </c>
      <c r="B5" s="12" t="s">
        <v>78</v>
      </c>
      <c r="C5" s="12" t="s">
        <v>79</v>
      </c>
      <c r="D5" s="12" t="s">
        <v>29</v>
      </c>
      <c r="E5" s="6" t="s">
        <v>31</v>
      </c>
      <c r="F5" s="6" t="s">
        <v>82</v>
      </c>
      <c r="G5" s="3"/>
      <c r="H5" s="3"/>
      <c r="I5" s="11" t="s">
        <v>47</v>
      </c>
      <c r="J5" s="11" t="s">
        <v>86</v>
      </c>
      <c r="K5" s="11">
        <v>0.1</v>
      </c>
      <c r="L5" s="11" t="s">
        <v>46</v>
      </c>
    </row>
    <row r="6" ht="144.0" customHeight="1">
      <c r="A6" s="12" t="s">
        <v>32</v>
      </c>
      <c r="B6" s="12" t="s">
        <v>90</v>
      </c>
      <c r="C6" s="12" t="s">
        <v>92</v>
      </c>
      <c r="D6" s="12" t="s">
        <v>29</v>
      </c>
      <c r="E6" s="6" t="s">
        <v>31</v>
      </c>
      <c r="F6" s="6" t="s">
        <v>96</v>
      </c>
      <c r="G6" s="3"/>
      <c r="H6" s="3"/>
      <c r="I6" s="11" t="s">
        <v>47</v>
      </c>
      <c r="J6" s="11" t="s">
        <v>100</v>
      </c>
      <c r="K6" s="11">
        <v>0.1</v>
      </c>
      <c r="L6" s="11" t="s">
        <v>46</v>
      </c>
    </row>
    <row r="7" ht="45.0" customHeight="1">
      <c r="A7" s="12" t="s">
        <v>32</v>
      </c>
      <c r="B7" s="12" t="s">
        <v>105</v>
      </c>
      <c r="C7" s="12" t="s">
        <v>108</v>
      </c>
      <c r="D7" s="12" t="s">
        <v>29</v>
      </c>
      <c r="E7" s="6" t="s">
        <v>31</v>
      </c>
      <c r="F7" s="6" t="s">
        <v>111</v>
      </c>
      <c r="G7" s="3"/>
      <c r="H7" s="3"/>
      <c r="I7" s="11" t="s">
        <v>47</v>
      </c>
      <c r="J7" s="11" t="s">
        <v>113</v>
      </c>
      <c r="K7" s="11">
        <v>0.1</v>
      </c>
      <c r="L7" s="11" t="s">
        <v>46</v>
      </c>
    </row>
    <row r="8" ht="52.5" customHeight="1">
      <c r="A8" s="12" t="s">
        <v>32</v>
      </c>
      <c r="B8" s="12" t="s">
        <v>115</v>
      </c>
      <c r="C8" s="12" t="s">
        <v>117</v>
      </c>
      <c r="D8" s="12" t="s">
        <v>29</v>
      </c>
      <c r="E8" s="6" t="s">
        <v>29</v>
      </c>
      <c r="F8" s="3"/>
      <c r="G8" s="3"/>
      <c r="H8" s="3"/>
      <c r="I8" s="11" t="s">
        <v>47</v>
      </c>
      <c r="J8" s="11" t="s">
        <v>119</v>
      </c>
      <c r="K8" s="11">
        <v>0.1</v>
      </c>
      <c r="L8" s="11" t="s">
        <v>46</v>
      </c>
    </row>
    <row r="9" ht="45.0" customHeight="1">
      <c r="A9" s="12" t="s">
        <v>32</v>
      </c>
      <c r="B9" s="12" t="s">
        <v>120</v>
      </c>
      <c r="C9" s="12" t="s">
        <v>122</v>
      </c>
      <c r="D9" s="12" t="s">
        <v>29</v>
      </c>
      <c r="E9" s="6" t="s">
        <v>29</v>
      </c>
      <c r="F9" s="3"/>
      <c r="G9" s="3"/>
      <c r="H9" s="3"/>
      <c r="I9" s="11" t="s">
        <v>47</v>
      </c>
      <c r="J9" s="11" t="s">
        <v>124</v>
      </c>
      <c r="K9" s="11">
        <v>0.1</v>
      </c>
      <c r="L9" s="11" t="s">
        <v>46</v>
      </c>
    </row>
    <row r="10" ht="168.75" customHeight="1">
      <c r="A10" s="5" t="s">
        <v>125</v>
      </c>
      <c r="B10" s="7" t="s">
        <v>24</v>
      </c>
      <c r="C10" s="7" t="s">
        <v>27</v>
      </c>
      <c r="D10" s="7" t="s">
        <v>29</v>
      </c>
      <c r="E10" s="9" t="s">
        <v>31</v>
      </c>
      <c r="F10" s="9" t="s">
        <v>127</v>
      </c>
      <c r="G10" s="10"/>
      <c r="H10" s="10"/>
      <c r="I10" s="11" t="s">
        <v>47</v>
      </c>
      <c r="J10" s="11" t="s">
        <v>44</v>
      </c>
      <c r="K10" s="11">
        <v>0.1</v>
      </c>
      <c r="L10" s="11" t="s">
        <v>46</v>
      </c>
    </row>
    <row r="11" ht="169.5" customHeight="1">
      <c r="A11" s="12" t="s">
        <v>125</v>
      </c>
      <c r="B11" s="12" t="s">
        <v>48</v>
      </c>
      <c r="C11" s="12" t="s">
        <v>49</v>
      </c>
      <c r="D11" s="12" t="s">
        <v>29</v>
      </c>
      <c r="E11" s="6" t="s">
        <v>29</v>
      </c>
      <c r="F11" s="3"/>
      <c r="G11" s="3"/>
      <c r="H11" s="3"/>
      <c r="I11" s="11" t="s">
        <v>47</v>
      </c>
      <c r="J11" s="11" t="s">
        <v>50</v>
      </c>
      <c r="K11" s="11">
        <v>0.1</v>
      </c>
      <c r="L11" s="11" t="s">
        <v>46</v>
      </c>
    </row>
    <row r="12" ht="337.5" customHeight="1">
      <c r="A12" s="12" t="s">
        <v>125</v>
      </c>
      <c r="B12" s="12" t="s">
        <v>51</v>
      </c>
      <c r="C12" s="12" t="s">
        <v>52</v>
      </c>
      <c r="D12" s="12" t="s">
        <v>53</v>
      </c>
      <c r="E12" s="6" t="s">
        <v>31</v>
      </c>
      <c r="F12" s="6" t="s">
        <v>134</v>
      </c>
      <c r="G12" s="3"/>
      <c r="H12" s="3"/>
      <c r="I12" s="11" t="s">
        <v>47</v>
      </c>
      <c r="J12" s="11" t="s">
        <v>55</v>
      </c>
      <c r="K12" s="11">
        <v>0.1</v>
      </c>
      <c r="L12" s="11" t="s">
        <v>46</v>
      </c>
    </row>
    <row r="13" ht="45.0" customHeight="1">
      <c r="A13" s="12" t="s">
        <v>125</v>
      </c>
      <c r="B13" s="12" t="s">
        <v>78</v>
      </c>
      <c r="C13" s="12" t="s">
        <v>79</v>
      </c>
      <c r="D13" s="12" t="s">
        <v>29</v>
      </c>
      <c r="E13" s="6" t="s">
        <v>31</v>
      </c>
      <c r="F13" s="6" t="s">
        <v>136</v>
      </c>
      <c r="G13" s="3"/>
      <c r="H13" s="3"/>
      <c r="I13" s="11" t="s">
        <v>47</v>
      </c>
      <c r="J13" s="11" t="s">
        <v>86</v>
      </c>
      <c r="K13" s="11">
        <v>0.1</v>
      </c>
      <c r="L13" s="11" t="s">
        <v>46</v>
      </c>
    </row>
    <row r="14" ht="144.0" customHeight="1">
      <c r="A14" s="12" t="s">
        <v>125</v>
      </c>
      <c r="B14" s="12" t="s">
        <v>90</v>
      </c>
      <c r="C14" s="12" t="s">
        <v>92</v>
      </c>
      <c r="D14" s="12" t="s">
        <v>29</v>
      </c>
      <c r="E14" s="6" t="s">
        <v>31</v>
      </c>
      <c r="F14" s="6" t="s">
        <v>127</v>
      </c>
      <c r="G14" s="3"/>
      <c r="H14" s="3"/>
      <c r="I14" s="11" t="s">
        <v>47</v>
      </c>
      <c r="J14" s="11" t="s">
        <v>100</v>
      </c>
      <c r="K14" s="11">
        <v>0.1</v>
      </c>
      <c r="L14" s="11" t="s">
        <v>46</v>
      </c>
    </row>
    <row r="15" ht="45.0" customHeight="1">
      <c r="A15" s="12" t="s">
        <v>125</v>
      </c>
      <c r="B15" s="12" t="s">
        <v>105</v>
      </c>
      <c r="C15" s="12" t="s">
        <v>108</v>
      </c>
      <c r="D15" s="12" t="s">
        <v>29</v>
      </c>
      <c r="E15" s="6" t="s">
        <v>31</v>
      </c>
      <c r="F15" s="6" t="s">
        <v>136</v>
      </c>
      <c r="G15" s="3"/>
      <c r="H15" s="3"/>
      <c r="I15" s="11" t="s">
        <v>47</v>
      </c>
      <c r="J15" s="11" t="s">
        <v>113</v>
      </c>
      <c r="K15" s="11">
        <v>0.1</v>
      </c>
      <c r="L15" s="11" t="s">
        <v>46</v>
      </c>
    </row>
    <row r="16" ht="52.5" customHeight="1">
      <c r="A16" s="12" t="s">
        <v>125</v>
      </c>
      <c r="B16" s="12" t="s">
        <v>115</v>
      </c>
      <c r="C16" s="12" t="s">
        <v>117</v>
      </c>
      <c r="D16" s="12" t="s">
        <v>29</v>
      </c>
      <c r="E16" s="6" t="s">
        <v>29</v>
      </c>
      <c r="F16" s="3"/>
      <c r="G16" s="3"/>
      <c r="H16" s="3"/>
      <c r="I16" s="11" t="s">
        <v>47</v>
      </c>
      <c r="J16" s="11" t="s">
        <v>119</v>
      </c>
      <c r="K16" s="11">
        <v>0.1</v>
      </c>
      <c r="L16" s="11" t="s">
        <v>46</v>
      </c>
    </row>
    <row r="17" ht="45.0" customHeight="1">
      <c r="A17" s="12" t="s">
        <v>125</v>
      </c>
      <c r="B17" s="12" t="s">
        <v>120</v>
      </c>
      <c r="C17" s="12" t="s">
        <v>122</v>
      </c>
      <c r="D17" s="12" t="s">
        <v>29</v>
      </c>
      <c r="E17" s="6" t="s">
        <v>29</v>
      </c>
      <c r="F17" s="3"/>
      <c r="G17" s="3"/>
      <c r="H17" s="3"/>
      <c r="I17" s="11" t="s">
        <v>47</v>
      </c>
      <c r="J17" s="11" t="s">
        <v>124</v>
      </c>
      <c r="K17" s="11">
        <v>0.1</v>
      </c>
      <c r="L17" s="11" t="s">
        <v>46</v>
      </c>
    </row>
    <row r="18" ht="168.75" customHeight="1">
      <c r="A18" s="5" t="s">
        <v>143</v>
      </c>
      <c r="B18" s="7" t="s">
        <v>24</v>
      </c>
      <c r="C18" s="7" t="s">
        <v>27</v>
      </c>
      <c r="D18" s="7" t="s">
        <v>29</v>
      </c>
      <c r="E18" s="9" t="s">
        <v>29</v>
      </c>
      <c r="F18" s="10"/>
      <c r="G18" s="10"/>
      <c r="H18" s="10"/>
      <c r="I18" s="11" t="s">
        <v>47</v>
      </c>
      <c r="J18" s="11" t="s">
        <v>44</v>
      </c>
      <c r="K18" s="11">
        <v>0.1</v>
      </c>
      <c r="L18" s="11" t="s">
        <v>46</v>
      </c>
    </row>
    <row r="19" ht="169.5" customHeight="1">
      <c r="A19" s="12" t="s">
        <v>143</v>
      </c>
      <c r="B19" s="12" t="s">
        <v>48</v>
      </c>
      <c r="C19" s="12" t="s">
        <v>49</v>
      </c>
      <c r="D19" s="12" t="s">
        <v>29</v>
      </c>
      <c r="E19" s="6" t="s">
        <v>29</v>
      </c>
      <c r="F19" s="3"/>
      <c r="G19" s="3"/>
      <c r="H19" s="3"/>
      <c r="I19" s="11" t="s">
        <v>47</v>
      </c>
      <c r="J19" s="11" t="s">
        <v>50</v>
      </c>
      <c r="K19" s="11">
        <v>0.1</v>
      </c>
      <c r="L19" s="11" t="s">
        <v>46</v>
      </c>
    </row>
    <row r="20" ht="337.5" customHeight="1">
      <c r="A20" s="12" t="s">
        <v>143</v>
      </c>
      <c r="B20" s="12" t="s">
        <v>51</v>
      </c>
      <c r="C20" s="12" t="s">
        <v>52</v>
      </c>
      <c r="D20" s="12" t="s">
        <v>53</v>
      </c>
      <c r="E20" s="6" t="s">
        <v>31</v>
      </c>
      <c r="F20" s="6" t="s">
        <v>150</v>
      </c>
      <c r="G20" s="3"/>
      <c r="H20" s="3"/>
      <c r="I20" s="11" t="s">
        <v>47</v>
      </c>
      <c r="J20" s="11" t="s">
        <v>55</v>
      </c>
      <c r="K20" s="11">
        <v>0.1</v>
      </c>
      <c r="L20" s="11" t="s">
        <v>46</v>
      </c>
    </row>
    <row r="21" ht="45.0" customHeight="1">
      <c r="A21" s="12" t="s">
        <v>143</v>
      </c>
      <c r="B21" s="12" t="s">
        <v>78</v>
      </c>
      <c r="C21" s="12" t="s">
        <v>79</v>
      </c>
      <c r="D21" s="12" t="s">
        <v>29</v>
      </c>
      <c r="E21" s="6" t="s">
        <v>31</v>
      </c>
      <c r="F21" s="6" t="s">
        <v>152</v>
      </c>
      <c r="G21" s="3"/>
      <c r="H21" s="3"/>
      <c r="I21" s="11" t="s">
        <v>47</v>
      </c>
      <c r="J21" s="11" t="s">
        <v>86</v>
      </c>
      <c r="K21" s="11">
        <v>0.1</v>
      </c>
      <c r="L21" s="11" t="s">
        <v>46</v>
      </c>
    </row>
    <row r="22" ht="144.0" customHeight="1">
      <c r="A22" s="12" t="s">
        <v>143</v>
      </c>
      <c r="B22" s="12" t="s">
        <v>90</v>
      </c>
      <c r="C22" s="12" t="s">
        <v>92</v>
      </c>
      <c r="D22" s="12" t="s">
        <v>29</v>
      </c>
      <c r="E22" s="6" t="s">
        <v>31</v>
      </c>
      <c r="F22" s="6" t="s">
        <v>156</v>
      </c>
      <c r="G22" s="3"/>
      <c r="H22" s="3"/>
      <c r="I22" s="11" t="s">
        <v>47</v>
      </c>
      <c r="J22" s="11" t="s">
        <v>100</v>
      </c>
      <c r="K22" s="11">
        <v>0.1</v>
      </c>
      <c r="L22" s="11" t="s">
        <v>46</v>
      </c>
    </row>
    <row r="23" ht="45.0" customHeight="1">
      <c r="A23" s="12" t="s">
        <v>143</v>
      </c>
      <c r="B23" s="12" t="s">
        <v>105</v>
      </c>
      <c r="C23" s="12" t="s">
        <v>108</v>
      </c>
      <c r="D23" s="12" t="s">
        <v>29</v>
      </c>
      <c r="E23" s="6" t="s">
        <v>31</v>
      </c>
      <c r="F23" s="6" t="s">
        <v>159</v>
      </c>
      <c r="G23" s="3"/>
      <c r="H23" s="3"/>
      <c r="I23" s="11" t="s">
        <v>47</v>
      </c>
      <c r="J23" s="11" t="s">
        <v>113</v>
      </c>
      <c r="K23" s="11">
        <v>0.1</v>
      </c>
      <c r="L23" s="11" t="s">
        <v>46</v>
      </c>
    </row>
    <row r="24" ht="52.5" customHeight="1">
      <c r="A24" s="12" t="s">
        <v>143</v>
      </c>
      <c r="B24" s="12" t="s">
        <v>115</v>
      </c>
      <c r="C24" s="12" t="s">
        <v>117</v>
      </c>
      <c r="D24" s="12" t="s">
        <v>29</v>
      </c>
      <c r="E24" s="6" t="s">
        <v>29</v>
      </c>
      <c r="F24" s="3"/>
      <c r="G24" s="3"/>
      <c r="H24" s="3"/>
      <c r="I24" s="11" t="s">
        <v>47</v>
      </c>
      <c r="J24" s="11" t="s">
        <v>119</v>
      </c>
      <c r="K24" s="11">
        <v>0.1</v>
      </c>
      <c r="L24" s="11" t="s">
        <v>46</v>
      </c>
    </row>
    <row r="25" ht="45.0" customHeight="1">
      <c r="A25" s="12" t="s">
        <v>143</v>
      </c>
      <c r="B25" s="12" t="s">
        <v>120</v>
      </c>
      <c r="C25" s="12" t="s">
        <v>122</v>
      </c>
      <c r="D25" s="12" t="s">
        <v>29</v>
      </c>
      <c r="E25" s="6" t="s">
        <v>29</v>
      </c>
      <c r="F25" s="3"/>
      <c r="G25" s="3"/>
      <c r="H25" s="3"/>
      <c r="I25" s="11" t="s">
        <v>47</v>
      </c>
      <c r="J25" s="11" t="s">
        <v>124</v>
      </c>
      <c r="K25" s="11">
        <v>0.1</v>
      </c>
      <c r="L25" s="11" t="s">
        <v>46</v>
      </c>
    </row>
    <row r="26" ht="168.75" customHeight="1">
      <c r="A26" s="5" t="s">
        <v>174</v>
      </c>
      <c r="B26" s="7" t="s">
        <v>24</v>
      </c>
      <c r="C26" s="7" t="s">
        <v>27</v>
      </c>
      <c r="D26" s="7" t="s">
        <v>29</v>
      </c>
      <c r="E26" s="9" t="s">
        <v>31</v>
      </c>
      <c r="F26" s="9" t="s">
        <v>177</v>
      </c>
      <c r="G26" s="10"/>
      <c r="H26" s="10"/>
      <c r="I26" s="11" t="s">
        <v>47</v>
      </c>
      <c r="J26" s="11" t="s">
        <v>44</v>
      </c>
      <c r="K26" s="11">
        <v>0.1</v>
      </c>
      <c r="L26" s="11" t="s">
        <v>46</v>
      </c>
    </row>
    <row r="27" ht="169.5" customHeight="1">
      <c r="A27" s="12" t="s">
        <v>174</v>
      </c>
      <c r="B27" s="12" t="s">
        <v>48</v>
      </c>
      <c r="C27" s="12" t="s">
        <v>49</v>
      </c>
      <c r="D27" s="12" t="s">
        <v>29</v>
      </c>
      <c r="E27" s="18" t="s">
        <v>29</v>
      </c>
      <c r="F27" s="3"/>
      <c r="G27" s="3"/>
      <c r="H27" s="3"/>
      <c r="I27" s="11" t="s">
        <v>47</v>
      </c>
      <c r="J27" s="11" t="s">
        <v>50</v>
      </c>
      <c r="K27" s="11">
        <v>0.1</v>
      </c>
      <c r="L27" s="11" t="s">
        <v>46</v>
      </c>
    </row>
    <row r="28" ht="337.5" customHeight="1">
      <c r="A28" s="12" t="s">
        <v>174</v>
      </c>
      <c r="B28" s="12" t="s">
        <v>51</v>
      </c>
      <c r="C28" s="12" t="s">
        <v>52</v>
      </c>
      <c r="D28" s="13" t="s">
        <v>182</v>
      </c>
      <c r="E28" s="6" t="s">
        <v>29</v>
      </c>
      <c r="F28" s="3"/>
      <c r="G28" s="3"/>
      <c r="H28" s="3"/>
      <c r="I28" s="11" t="s">
        <v>47</v>
      </c>
      <c r="J28" s="11" t="s">
        <v>55</v>
      </c>
      <c r="K28" s="11">
        <v>0.1</v>
      </c>
      <c r="L28" s="11" t="s">
        <v>46</v>
      </c>
    </row>
    <row r="29" ht="45.0" customHeight="1">
      <c r="A29" s="12" t="s">
        <v>174</v>
      </c>
      <c r="B29" s="12" t="s">
        <v>78</v>
      </c>
      <c r="C29" s="12" t="s">
        <v>79</v>
      </c>
      <c r="D29" s="12" t="s">
        <v>29</v>
      </c>
      <c r="E29" s="6" t="s">
        <v>31</v>
      </c>
      <c r="F29" s="6" t="s">
        <v>186</v>
      </c>
      <c r="G29" s="3"/>
      <c r="H29" s="3"/>
      <c r="I29" s="11" t="s">
        <v>47</v>
      </c>
      <c r="J29" s="11" t="s">
        <v>86</v>
      </c>
      <c r="K29" s="11">
        <v>0.1</v>
      </c>
      <c r="L29" s="11" t="s">
        <v>46</v>
      </c>
    </row>
    <row r="30" ht="144.0" customHeight="1">
      <c r="A30" s="12" t="s">
        <v>174</v>
      </c>
      <c r="B30" s="12" t="s">
        <v>90</v>
      </c>
      <c r="C30" s="12" t="s">
        <v>92</v>
      </c>
      <c r="D30" s="12" t="s">
        <v>29</v>
      </c>
      <c r="E30" s="6" t="s">
        <v>31</v>
      </c>
      <c r="F30" s="6" t="s">
        <v>189</v>
      </c>
      <c r="G30" s="3"/>
      <c r="H30" s="3"/>
      <c r="I30" s="11" t="s">
        <v>47</v>
      </c>
      <c r="J30" s="11" t="s">
        <v>100</v>
      </c>
      <c r="K30" s="11">
        <v>0.1</v>
      </c>
      <c r="L30" s="11" t="s">
        <v>46</v>
      </c>
    </row>
    <row r="31" ht="45.0" customHeight="1">
      <c r="A31" s="12" t="s">
        <v>174</v>
      </c>
      <c r="B31" s="12" t="s">
        <v>105</v>
      </c>
      <c r="C31" s="12" t="s">
        <v>108</v>
      </c>
      <c r="D31" s="12" t="s">
        <v>29</v>
      </c>
      <c r="E31" s="6" t="s">
        <v>31</v>
      </c>
      <c r="F31" s="6" t="s">
        <v>192</v>
      </c>
      <c r="G31" s="3"/>
      <c r="H31" s="3"/>
      <c r="I31" s="11" t="s">
        <v>47</v>
      </c>
      <c r="J31" s="11" t="s">
        <v>113</v>
      </c>
      <c r="K31" s="11">
        <v>0.1</v>
      </c>
      <c r="L31" s="11" t="s">
        <v>46</v>
      </c>
    </row>
    <row r="32" ht="52.5" customHeight="1">
      <c r="A32" s="12" t="s">
        <v>174</v>
      </c>
      <c r="B32" s="12" t="s">
        <v>115</v>
      </c>
      <c r="C32" s="12" t="s">
        <v>117</v>
      </c>
      <c r="D32" s="12" t="s">
        <v>29</v>
      </c>
      <c r="E32" s="6" t="s">
        <v>29</v>
      </c>
      <c r="F32" s="3"/>
      <c r="G32" s="3"/>
      <c r="H32" s="3"/>
      <c r="I32" s="11" t="s">
        <v>47</v>
      </c>
      <c r="J32" s="11" t="s">
        <v>119</v>
      </c>
      <c r="K32" s="11">
        <v>0.1</v>
      </c>
      <c r="L32" s="11" t="s">
        <v>46</v>
      </c>
    </row>
    <row r="33" ht="45.0" customHeight="1">
      <c r="A33" s="12" t="s">
        <v>174</v>
      </c>
      <c r="B33" s="12" t="s">
        <v>120</v>
      </c>
      <c r="C33" s="12" t="s">
        <v>122</v>
      </c>
      <c r="D33" s="12" t="s">
        <v>29</v>
      </c>
      <c r="E33" s="6" t="s">
        <v>29</v>
      </c>
      <c r="F33" s="3"/>
      <c r="G33" s="3"/>
      <c r="H33" s="3"/>
      <c r="I33" s="11" t="s">
        <v>47</v>
      </c>
      <c r="J33" s="11" t="s">
        <v>124</v>
      </c>
      <c r="K33" s="11">
        <v>0.1</v>
      </c>
      <c r="L33" s="11" t="s">
        <v>46</v>
      </c>
    </row>
    <row r="34" ht="168.75" customHeight="1">
      <c r="A34" s="5" t="s">
        <v>195</v>
      </c>
      <c r="B34" s="7" t="s">
        <v>24</v>
      </c>
      <c r="C34" s="7" t="s">
        <v>27</v>
      </c>
      <c r="D34" s="7" t="s">
        <v>29</v>
      </c>
      <c r="E34" s="9" t="s">
        <v>31</v>
      </c>
      <c r="F34" s="9" t="s">
        <v>197</v>
      </c>
      <c r="G34" s="10"/>
      <c r="H34" s="10"/>
      <c r="I34" s="11" t="s">
        <v>47</v>
      </c>
      <c r="J34" s="11" t="s">
        <v>44</v>
      </c>
      <c r="K34" s="11">
        <v>0.1</v>
      </c>
      <c r="L34" s="11" t="s">
        <v>46</v>
      </c>
    </row>
    <row r="35" ht="169.5" customHeight="1">
      <c r="A35" s="12" t="s">
        <v>195</v>
      </c>
      <c r="B35" s="12" t="s">
        <v>48</v>
      </c>
      <c r="C35" s="12" t="s">
        <v>49</v>
      </c>
      <c r="D35" s="12" t="s">
        <v>29</v>
      </c>
      <c r="E35" s="6" t="s">
        <v>29</v>
      </c>
      <c r="F35" s="3"/>
      <c r="G35" s="3"/>
      <c r="H35" s="3"/>
      <c r="I35" s="11" t="s">
        <v>47</v>
      </c>
      <c r="J35" s="11" t="s">
        <v>50</v>
      </c>
      <c r="K35" s="11">
        <v>0.1</v>
      </c>
      <c r="L35" s="11" t="s">
        <v>46</v>
      </c>
    </row>
    <row r="36" ht="337.5" customHeight="1">
      <c r="A36" s="12" t="s">
        <v>195</v>
      </c>
      <c r="B36" s="12" t="s">
        <v>51</v>
      </c>
      <c r="C36" s="12" t="s">
        <v>52</v>
      </c>
      <c r="D36" s="13" t="s">
        <v>201</v>
      </c>
      <c r="E36" s="6" t="s">
        <v>29</v>
      </c>
      <c r="F36" s="3"/>
      <c r="G36" s="3"/>
      <c r="H36" s="3"/>
      <c r="I36" s="11" t="s">
        <v>47</v>
      </c>
      <c r="J36" s="11" t="s">
        <v>55</v>
      </c>
      <c r="K36" s="11">
        <v>0.1</v>
      </c>
      <c r="L36" s="11" t="s">
        <v>46</v>
      </c>
    </row>
    <row r="37" ht="45.0" customHeight="1">
      <c r="A37" s="12" t="s">
        <v>195</v>
      </c>
      <c r="B37" s="12" t="s">
        <v>78</v>
      </c>
      <c r="C37" s="12" t="s">
        <v>79</v>
      </c>
      <c r="D37" s="12" t="s">
        <v>29</v>
      </c>
      <c r="E37" s="6" t="s">
        <v>31</v>
      </c>
      <c r="F37" s="6" t="s">
        <v>205</v>
      </c>
      <c r="G37" s="3"/>
      <c r="H37" s="3"/>
      <c r="I37" s="11" t="s">
        <v>47</v>
      </c>
      <c r="J37" s="11" t="s">
        <v>86</v>
      </c>
      <c r="K37" s="11">
        <v>0.1</v>
      </c>
      <c r="L37" s="11" t="s">
        <v>46</v>
      </c>
    </row>
    <row r="38" ht="144.0" customHeight="1">
      <c r="A38" s="12" t="s">
        <v>195</v>
      </c>
      <c r="B38" s="12" t="s">
        <v>90</v>
      </c>
      <c r="C38" s="12" t="s">
        <v>92</v>
      </c>
      <c r="D38" s="12" t="s">
        <v>29</v>
      </c>
      <c r="E38" s="6" t="s">
        <v>31</v>
      </c>
      <c r="F38" s="6" t="s">
        <v>207</v>
      </c>
      <c r="G38" s="3"/>
      <c r="H38" s="3"/>
      <c r="I38" s="11" t="s">
        <v>47</v>
      </c>
      <c r="J38" s="11" t="s">
        <v>100</v>
      </c>
      <c r="K38" s="11">
        <v>0.1</v>
      </c>
      <c r="L38" s="11" t="s">
        <v>46</v>
      </c>
    </row>
    <row r="39" ht="45.0" customHeight="1">
      <c r="A39" s="12" t="s">
        <v>195</v>
      </c>
      <c r="B39" s="12" t="s">
        <v>105</v>
      </c>
      <c r="C39" s="12" t="s">
        <v>108</v>
      </c>
      <c r="D39" s="12" t="s">
        <v>29</v>
      </c>
      <c r="E39" s="6" t="s">
        <v>31</v>
      </c>
      <c r="F39" s="6" t="s">
        <v>205</v>
      </c>
      <c r="G39" s="3"/>
      <c r="H39" s="3"/>
      <c r="I39" s="11" t="s">
        <v>47</v>
      </c>
      <c r="J39" s="11" t="s">
        <v>113</v>
      </c>
      <c r="K39" s="11">
        <v>0.1</v>
      </c>
      <c r="L39" s="11" t="s">
        <v>46</v>
      </c>
    </row>
    <row r="40" ht="52.5" customHeight="1">
      <c r="A40" s="12" t="s">
        <v>195</v>
      </c>
      <c r="B40" s="12" t="s">
        <v>115</v>
      </c>
      <c r="C40" s="12" t="s">
        <v>117</v>
      </c>
      <c r="D40" s="12" t="s">
        <v>29</v>
      </c>
      <c r="E40" s="6" t="s">
        <v>29</v>
      </c>
      <c r="F40" s="3"/>
      <c r="G40" s="3"/>
      <c r="H40" s="3"/>
      <c r="I40" s="11" t="s">
        <v>47</v>
      </c>
      <c r="J40" s="11" t="s">
        <v>119</v>
      </c>
      <c r="K40" s="11">
        <v>0.1</v>
      </c>
      <c r="L40" s="11" t="s">
        <v>46</v>
      </c>
    </row>
    <row r="41" ht="45.0" customHeight="1">
      <c r="A41" s="12" t="s">
        <v>195</v>
      </c>
      <c r="B41" s="12" t="s">
        <v>120</v>
      </c>
      <c r="C41" s="12" t="s">
        <v>122</v>
      </c>
      <c r="D41" s="12" t="s">
        <v>29</v>
      </c>
      <c r="E41" s="6" t="s">
        <v>29</v>
      </c>
      <c r="F41" s="3"/>
      <c r="G41" s="3"/>
      <c r="H41" s="3"/>
      <c r="I41" s="11" t="s">
        <v>47</v>
      </c>
      <c r="J41" s="11" t="s">
        <v>124</v>
      </c>
      <c r="K41" s="11">
        <v>0.1</v>
      </c>
      <c r="L41" s="11" t="s">
        <v>46</v>
      </c>
    </row>
    <row r="42" ht="168.75" customHeight="1">
      <c r="A42" s="5" t="s">
        <v>210</v>
      </c>
      <c r="B42" s="7" t="s">
        <v>24</v>
      </c>
      <c r="C42" s="7" t="s">
        <v>27</v>
      </c>
      <c r="D42" s="7" t="s">
        <v>29</v>
      </c>
      <c r="E42" s="9" t="s">
        <v>31</v>
      </c>
      <c r="F42" s="9" t="s">
        <v>211</v>
      </c>
      <c r="G42" s="10"/>
      <c r="H42" s="10"/>
      <c r="I42" s="11" t="s">
        <v>47</v>
      </c>
      <c r="J42" s="11" t="s">
        <v>44</v>
      </c>
      <c r="K42" s="11">
        <v>0.1</v>
      </c>
      <c r="L42" s="11" t="s">
        <v>46</v>
      </c>
    </row>
    <row r="43" ht="169.5" customHeight="1">
      <c r="A43" s="12" t="s">
        <v>210</v>
      </c>
      <c r="B43" s="12" t="s">
        <v>48</v>
      </c>
      <c r="C43" s="12" t="s">
        <v>49</v>
      </c>
      <c r="D43" s="12" t="s">
        <v>29</v>
      </c>
      <c r="E43" s="6" t="s">
        <v>29</v>
      </c>
      <c r="F43" s="3"/>
      <c r="G43" s="3"/>
      <c r="H43" s="3"/>
      <c r="I43" s="11" t="s">
        <v>47</v>
      </c>
      <c r="J43" s="11" t="s">
        <v>50</v>
      </c>
      <c r="K43" s="11">
        <v>0.1</v>
      </c>
      <c r="L43" s="11" t="s">
        <v>46</v>
      </c>
    </row>
    <row r="44" ht="337.5" customHeight="1">
      <c r="A44" s="12" t="s">
        <v>210</v>
      </c>
      <c r="B44" s="12" t="s">
        <v>51</v>
      </c>
      <c r="C44" s="12" t="s">
        <v>52</v>
      </c>
      <c r="D44" s="13" t="s">
        <v>215</v>
      </c>
      <c r="E44" s="6" t="s">
        <v>29</v>
      </c>
      <c r="F44" s="3"/>
      <c r="G44" s="3"/>
      <c r="H44" s="3"/>
      <c r="I44" s="11" t="s">
        <v>47</v>
      </c>
      <c r="J44" s="11" t="s">
        <v>55</v>
      </c>
      <c r="K44" s="11">
        <v>0.1</v>
      </c>
      <c r="L44" s="11" t="s">
        <v>46</v>
      </c>
    </row>
    <row r="45" ht="45.0" customHeight="1">
      <c r="A45" s="12" t="s">
        <v>210</v>
      </c>
      <c r="B45" s="12" t="s">
        <v>78</v>
      </c>
      <c r="C45" s="12" t="s">
        <v>79</v>
      </c>
      <c r="D45" s="12" t="s">
        <v>29</v>
      </c>
      <c r="E45" s="6" t="s">
        <v>31</v>
      </c>
      <c r="F45" s="6" t="s">
        <v>216</v>
      </c>
      <c r="G45" s="3"/>
      <c r="H45" s="3"/>
      <c r="I45" s="11" t="s">
        <v>47</v>
      </c>
      <c r="J45" s="11" t="s">
        <v>86</v>
      </c>
      <c r="K45" s="11">
        <v>0.1</v>
      </c>
      <c r="L45" s="11" t="s">
        <v>46</v>
      </c>
    </row>
    <row r="46" ht="144.0" customHeight="1">
      <c r="A46" s="12" t="s">
        <v>210</v>
      </c>
      <c r="B46" s="12" t="s">
        <v>90</v>
      </c>
      <c r="C46" s="12" t="s">
        <v>92</v>
      </c>
      <c r="D46" s="12" t="s">
        <v>29</v>
      </c>
      <c r="E46" s="6" t="s">
        <v>31</v>
      </c>
      <c r="F46" s="6" t="s">
        <v>217</v>
      </c>
      <c r="G46" s="3"/>
      <c r="H46" s="3"/>
      <c r="I46" s="11" t="s">
        <v>47</v>
      </c>
      <c r="J46" s="11" t="s">
        <v>100</v>
      </c>
      <c r="K46" s="11">
        <v>0.1</v>
      </c>
      <c r="L46" s="11" t="s">
        <v>46</v>
      </c>
    </row>
    <row r="47" ht="45.0" customHeight="1">
      <c r="A47" s="12" t="s">
        <v>210</v>
      </c>
      <c r="B47" s="12" t="s">
        <v>105</v>
      </c>
      <c r="C47" s="12" t="s">
        <v>108</v>
      </c>
      <c r="D47" s="12" t="s">
        <v>29</v>
      </c>
      <c r="E47" s="6" t="s">
        <v>31</v>
      </c>
      <c r="F47" s="6" t="s">
        <v>220</v>
      </c>
      <c r="G47" s="3"/>
      <c r="H47" s="3"/>
      <c r="I47" s="11" t="s">
        <v>47</v>
      </c>
      <c r="J47" s="11" t="s">
        <v>113</v>
      </c>
      <c r="K47" s="11">
        <v>0.1</v>
      </c>
      <c r="L47" s="11" t="s">
        <v>46</v>
      </c>
    </row>
    <row r="48" ht="52.5" customHeight="1">
      <c r="A48" s="12" t="s">
        <v>210</v>
      </c>
      <c r="B48" s="12" t="s">
        <v>115</v>
      </c>
      <c r="C48" s="12" t="s">
        <v>117</v>
      </c>
      <c r="D48" s="12" t="s">
        <v>29</v>
      </c>
      <c r="E48" s="6" t="s">
        <v>29</v>
      </c>
      <c r="F48" s="3"/>
      <c r="G48" s="3"/>
      <c r="H48" s="3"/>
      <c r="I48" s="11" t="s">
        <v>47</v>
      </c>
      <c r="J48" s="11" t="s">
        <v>119</v>
      </c>
      <c r="K48" s="11">
        <v>0.1</v>
      </c>
      <c r="L48" s="11" t="s">
        <v>46</v>
      </c>
    </row>
    <row r="49" ht="45.0" customHeight="1">
      <c r="A49" s="12" t="s">
        <v>210</v>
      </c>
      <c r="B49" s="12" t="s">
        <v>120</v>
      </c>
      <c r="C49" s="12" t="s">
        <v>122</v>
      </c>
      <c r="D49" s="12" t="s">
        <v>29</v>
      </c>
      <c r="E49" s="6" t="s">
        <v>29</v>
      </c>
      <c r="F49" s="3"/>
      <c r="G49" s="3"/>
      <c r="H49" s="3"/>
      <c r="I49" s="11" t="s">
        <v>47</v>
      </c>
      <c r="J49" s="11" t="s">
        <v>124</v>
      </c>
      <c r="K49" s="11">
        <v>0.1</v>
      </c>
      <c r="L49" s="11" t="s">
        <v>46</v>
      </c>
    </row>
    <row r="50" ht="168.75" customHeight="1">
      <c r="A50" s="5" t="s">
        <v>223</v>
      </c>
      <c r="B50" s="7" t="s">
        <v>24</v>
      </c>
      <c r="C50" s="7" t="s">
        <v>27</v>
      </c>
      <c r="D50" s="7" t="s">
        <v>29</v>
      </c>
      <c r="E50" s="9" t="s">
        <v>31</v>
      </c>
      <c r="F50" s="9" t="s">
        <v>225</v>
      </c>
      <c r="G50" s="10"/>
      <c r="H50" s="10"/>
      <c r="I50" s="11" t="s">
        <v>47</v>
      </c>
      <c r="J50" s="11" t="s">
        <v>44</v>
      </c>
      <c r="K50" s="11">
        <v>0.1</v>
      </c>
      <c r="L50" s="11" t="s">
        <v>46</v>
      </c>
    </row>
    <row r="51" ht="169.5" customHeight="1">
      <c r="A51" s="12" t="s">
        <v>223</v>
      </c>
      <c r="B51" s="12" t="s">
        <v>48</v>
      </c>
      <c r="C51" s="12" t="s">
        <v>49</v>
      </c>
      <c r="D51" s="12" t="s">
        <v>29</v>
      </c>
      <c r="E51" s="6" t="s">
        <v>29</v>
      </c>
      <c r="F51" s="3"/>
      <c r="G51" s="3"/>
      <c r="H51" s="3"/>
      <c r="I51" s="11" t="s">
        <v>47</v>
      </c>
      <c r="J51" s="11" t="s">
        <v>50</v>
      </c>
      <c r="K51" s="11">
        <v>0.1</v>
      </c>
      <c r="L51" s="11" t="s">
        <v>46</v>
      </c>
    </row>
    <row r="52" ht="337.5" customHeight="1">
      <c r="A52" s="12" t="s">
        <v>223</v>
      </c>
      <c r="B52" s="12" t="s">
        <v>51</v>
      </c>
      <c r="C52" s="12" t="s">
        <v>52</v>
      </c>
      <c r="D52" s="12" t="s">
        <v>53</v>
      </c>
      <c r="E52" s="6" t="s">
        <v>29</v>
      </c>
      <c r="F52" s="3"/>
      <c r="G52" s="3"/>
      <c r="H52" s="3"/>
      <c r="I52" s="11" t="s">
        <v>47</v>
      </c>
      <c r="J52" s="11" t="s">
        <v>55</v>
      </c>
      <c r="K52" s="11">
        <v>0.1</v>
      </c>
      <c r="L52" s="11" t="s">
        <v>46</v>
      </c>
    </row>
    <row r="53" ht="45.0" customHeight="1">
      <c r="A53" s="12" t="s">
        <v>223</v>
      </c>
      <c r="B53" s="12" t="s">
        <v>78</v>
      </c>
      <c r="C53" s="12" t="s">
        <v>79</v>
      </c>
      <c r="D53" s="12" t="s">
        <v>29</v>
      </c>
      <c r="E53" s="6" t="s">
        <v>29</v>
      </c>
      <c r="F53" s="3"/>
      <c r="G53" s="3"/>
      <c r="H53" s="3"/>
      <c r="I53" s="11" t="s">
        <v>47</v>
      </c>
      <c r="J53" s="11" t="s">
        <v>86</v>
      </c>
      <c r="K53" s="11">
        <v>0.1</v>
      </c>
      <c r="L53" s="11" t="s">
        <v>46</v>
      </c>
    </row>
    <row r="54" ht="144.0" customHeight="1">
      <c r="A54" s="12" t="s">
        <v>223</v>
      </c>
      <c r="B54" s="12" t="s">
        <v>90</v>
      </c>
      <c r="C54" s="12" t="s">
        <v>92</v>
      </c>
      <c r="D54" s="12" t="s">
        <v>29</v>
      </c>
      <c r="E54" s="6" t="s">
        <v>31</v>
      </c>
      <c r="F54" s="6" t="s">
        <v>232</v>
      </c>
      <c r="G54" s="3"/>
      <c r="H54" s="3"/>
      <c r="I54" s="11" t="s">
        <v>47</v>
      </c>
      <c r="J54" s="11" t="s">
        <v>100</v>
      </c>
      <c r="K54" s="11">
        <v>0.1</v>
      </c>
      <c r="L54" s="11" t="s">
        <v>46</v>
      </c>
    </row>
    <row r="55" ht="45.0" customHeight="1">
      <c r="A55" s="12" t="s">
        <v>223</v>
      </c>
      <c r="B55" s="12" t="s">
        <v>105</v>
      </c>
      <c r="C55" s="12" t="s">
        <v>108</v>
      </c>
      <c r="D55" s="12" t="s">
        <v>29</v>
      </c>
      <c r="E55" s="6" t="s">
        <v>31</v>
      </c>
      <c r="F55" s="6" t="s">
        <v>235</v>
      </c>
      <c r="G55" s="3"/>
      <c r="H55" s="3"/>
      <c r="I55" s="11" t="s">
        <v>47</v>
      </c>
      <c r="J55" s="11" t="s">
        <v>113</v>
      </c>
      <c r="K55" s="11">
        <v>0.1</v>
      </c>
      <c r="L55" s="11" t="s">
        <v>46</v>
      </c>
    </row>
    <row r="56" ht="52.5" customHeight="1">
      <c r="A56" s="12" t="s">
        <v>223</v>
      </c>
      <c r="B56" s="12" t="s">
        <v>115</v>
      </c>
      <c r="C56" s="12" t="s">
        <v>117</v>
      </c>
      <c r="D56" s="12" t="s">
        <v>29</v>
      </c>
      <c r="E56" s="6" t="s">
        <v>29</v>
      </c>
      <c r="F56" s="3"/>
      <c r="G56" s="3"/>
      <c r="H56" s="3"/>
      <c r="I56" s="11" t="s">
        <v>47</v>
      </c>
      <c r="J56" s="11" t="s">
        <v>119</v>
      </c>
      <c r="K56" s="11">
        <v>0.1</v>
      </c>
      <c r="L56" s="11" t="s">
        <v>46</v>
      </c>
    </row>
    <row r="57" ht="45.0" customHeight="1">
      <c r="A57" s="12" t="s">
        <v>223</v>
      </c>
      <c r="B57" s="12" t="s">
        <v>120</v>
      </c>
      <c r="C57" s="12" t="s">
        <v>122</v>
      </c>
      <c r="D57" s="12" t="s">
        <v>29</v>
      </c>
      <c r="E57" s="6" t="s">
        <v>29</v>
      </c>
      <c r="F57" s="3"/>
      <c r="G57" s="3"/>
      <c r="H57" s="3"/>
      <c r="I57" s="11" t="s">
        <v>47</v>
      </c>
      <c r="J57" s="11" t="s">
        <v>124</v>
      </c>
      <c r="K57" s="11">
        <v>0.1</v>
      </c>
      <c r="L57" s="11" t="s">
        <v>46</v>
      </c>
    </row>
    <row r="58" ht="168.75" customHeight="1">
      <c r="A58" s="5" t="s">
        <v>238</v>
      </c>
      <c r="B58" s="7" t="s">
        <v>24</v>
      </c>
      <c r="C58" s="7" t="s">
        <v>27</v>
      </c>
      <c r="D58" s="7" t="s">
        <v>29</v>
      </c>
      <c r="E58" s="9" t="s">
        <v>31</v>
      </c>
      <c r="F58" s="9" t="s">
        <v>239</v>
      </c>
      <c r="G58" s="10"/>
      <c r="H58" s="10"/>
      <c r="I58" s="11" t="s">
        <v>47</v>
      </c>
      <c r="J58" s="11" t="s">
        <v>44</v>
      </c>
      <c r="K58" s="11">
        <v>0.1</v>
      </c>
      <c r="L58" s="11" t="s">
        <v>46</v>
      </c>
    </row>
    <row r="59" ht="169.5" customHeight="1">
      <c r="A59" s="12" t="s">
        <v>238</v>
      </c>
      <c r="B59" s="12" t="s">
        <v>48</v>
      </c>
      <c r="C59" s="12" t="s">
        <v>49</v>
      </c>
      <c r="D59" s="12" t="s">
        <v>29</v>
      </c>
      <c r="E59" s="6" t="s">
        <v>29</v>
      </c>
      <c r="F59" s="3"/>
      <c r="G59" s="3"/>
      <c r="H59" s="3"/>
      <c r="I59" s="11" t="s">
        <v>47</v>
      </c>
      <c r="J59" s="11" t="s">
        <v>50</v>
      </c>
      <c r="K59" s="11">
        <v>0.1</v>
      </c>
      <c r="L59" s="11" t="s">
        <v>46</v>
      </c>
    </row>
    <row r="60" ht="337.5" customHeight="1">
      <c r="A60" s="12" t="s">
        <v>238</v>
      </c>
      <c r="B60" s="12" t="s">
        <v>51</v>
      </c>
      <c r="C60" s="12" t="s">
        <v>52</v>
      </c>
      <c r="D60" s="12" t="s">
        <v>53</v>
      </c>
      <c r="E60" s="6" t="s">
        <v>31</v>
      </c>
      <c r="F60" s="6" t="s">
        <v>241</v>
      </c>
      <c r="G60" s="6"/>
      <c r="H60" s="3"/>
      <c r="I60" s="11" t="s">
        <v>47</v>
      </c>
      <c r="J60" s="11" t="s">
        <v>55</v>
      </c>
      <c r="K60" s="11">
        <v>0.1</v>
      </c>
      <c r="L60" s="11" t="s">
        <v>46</v>
      </c>
    </row>
    <row r="61" ht="45.0" customHeight="1">
      <c r="A61" s="12" t="s">
        <v>238</v>
      </c>
      <c r="B61" s="12" t="s">
        <v>78</v>
      </c>
      <c r="C61" s="12" t="s">
        <v>79</v>
      </c>
      <c r="D61" s="12" t="s">
        <v>29</v>
      </c>
      <c r="E61" s="6" t="s">
        <v>31</v>
      </c>
      <c r="F61" s="6" t="s">
        <v>243</v>
      </c>
      <c r="G61" s="3"/>
      <c r="H61" s="3"/>
      <c r="I61" s="11" t="s">
        <v>47</v>
      </c>
      <c r="J61" s="11" t="s">
        <v>86</v>
      </c>
      <c r="K61" s="11">
        <v>0.1</v>
      </c>
      <c r="L61" s="11" t="s">
        <v>46</v>
      </c>
    </row>
    <row r="62" ht="144.0" customHeight="1">
      <c r="A62" s="12" t="s">
        <v>238</v>
      </c>
      <c r="B62" s="12" t="s">
        <v>90</v>
      </c>
      <c r="C62" s="12" t="s">
        <v>92</v>
      </c>
      <c r="D62" s="12" t="s">
        <v>29</v>
      </c>
      <c r="E62" s="6" t="s">
        <v>31</v>
      </c>
      <c r="F62" s="6" t="s">
        <v>245</v>
      </c>
      <c r="G62" s="3"/>
      <c r="H62" s="3"/>
      <c r="I62" s="11" t="s">
        <v>47</v>
      </c>
      <c r="J62" s="11" t="s">
        <v>100</v>
      </c>
      <c r="K62" s="11">
        <v>0.1</v>
      </c>
      <c r="L62" s="11" t="s">
        <v>46</v>
      </c>
    </row>
    <row r="63" ht="45.0" customHeight="1">
      <c r="A63" s="12" t="s">
        <v>238</v>
      </c>
      <c r="B63" s="12" t="s">
        <v>105</v>
      </c>
      <c r="C63" s="12" t="s">
        <v>108</v>
      </c>
      <c r="D63" s="12" t="s">
        <v>29</v>
      </c>
      <c r="E63" s="6" t="s">
        <v>31</v>
      </c>
      <c r="F63" s="6" t="s">
        <v>246</v>
      </c>
      <c r="G63" s="3"/>
      <c r="H63" s="3"/>
      <c r="I63" s="11" t="s">
        <v>47</v>
      </c>
      <c r="J63" s="11" t="s">
        <v>113</v>
      </c>
      <c r="K63" s="11">
        <v>0.1</v>
      </c>
      <c r="L63" s="11" t="s">
        <v>46</v>
      </c>
    </row>
    <row r="64" ht="52.5" customHeight="1">
      <c r="A64" s="12" t="s">
        <v>238</v>
      </c>
      <c r="B64" s="12" t="s">
        <v>115</v>
      </c>
      <c r="C64" s="12" t="s">
        <v>117</v>
      </c>
      <c r="D64" s="12" t="s">
        <v>29</v>
      </c>
      <c r="E64" s="6" t="s">
        <v>29</v>
      </c>
      <c r="F64" s="3"/>
      <c r="G64" s="3"/>
      <c r="H64" s="3"/>
      <c r="I64" s="11" t="s">
        <v>47</v>
      </c>
      <c r="J64" s="11" t="s">
        <v>119</v>
      </c>
      <c r="K64" s="11">
        <v>0.1</v>
      </c>
      <c r="L64" s="11" t="s">
        <v>46</v>
      </c>
    </row>
    <row r="65" ht="45.0" customHeight="1">
      <c r="A65" s="12" t="s">
        <v>238</v>
      </c>
      <c r="B65" s="12" t="s">
        <v>120</v>
      </c>
      <c r="C65" s="12" t="s">
        <v>122</v>
      </c>
      <c r="D65" s="12" t="s">
        <v>29</v>
      </c>
      <c r="E65" s="6" t="s">
        <v>29</v>
      </c>
      <c r="F65" s="3"/>
      <c r="G65" s="3"/>
      <c r="H65" s="3"/>
      <c r="I65" s="11" t="s">
        <v>47</v>
      </c>
      <c r="J65" s="11" t="s">
        <v>124</v>
      </c>
      <c r="K65" s="11">
        <v>0.1</v>
      </c>
      <c r="L65" s="11" t="s">
        <v>46</v>
      </c>
    </row>
    <row r="66" ht="168.75" customHeight="1">
      <c r="A66" s="5" t="s">
        <v>252</v>
      </c>
      <c r="B66" s="7" t="s">
        <v>24</v>
      </c>
      <c r="C66" s="7" t="s">
        <v>27</v>
      </c>
      <c r="D66" s="7" t="s">
        <v>29</v>
      </c>
      <c r="E66" s="9" t="s">
        <v>31</v>
      </c>
      <c r="F66" s="9" t="s">
        <v>257</v>
      </c>
      <c r="G66" s="10"/>
      <c r="H66" s="10"/>
      <c r="I66" s="11" t="s">
        <v>47</v>
      </c>
      <c r="J66" s="11" t="s">
        <v>44</v>
      </c>
      <c r="K66" s="11">
        <v>0.1</v>
      </c>
      <c r="L66" s="11" t="s">
        <v>46</v>
      </c>
    </row>
    <row r="67" ht="169.5" customHeight="1">
      <c r="A67" s="12" t="s">
        <v>252</v>
      </c>
      <c r="B67" s="12" t="s">
        <v>48</v>
      </c>
      <c r="C67" s="12" t="s">
        <v>49</v>
      </c>
      <c r="D67" s="12" t="s">
        <v>29</v>
      </c>
      <c r="E67" s="6" t="s">
        <v>29</v>
      </c>
      <c r="F67" s="3"/>
      <c r="G67" s="3"/>
      <c r="H67" s="3"/>
      <c r="I67" s="11" t="s">
        <v>47</v>
      </c>
      <c r="J67" s="11" t="s">
        <v>50</v>
      </c>
      <c r="K67" s="11">
        <v>0.1</v>
      </c>
      <c r="L67" s="11" t="s">
        <v>46</v>
      </c>
    </row>
    <row r="68" ht="337.5" customHeight="1">
      <c r="A68" s="12" t="s">
        <v>252</v>
      </c>
      <c r="B68" s="12" t="s">
        <v>51</v>
      </c>
      <c r="C68" s="12" t="s">
        <v>52</v>
      </c>
      <c r="D68" s="12" t="s">
        <v>53</v>
      </c>
      <c r="E68" s="6" t="s">
        <v>265</v>
      </c>
      <c r="F68" s="3"/>
      <c r="G68" s="6" t="s">
        <v>268</v>
      </c>
      <c r="H68" s="6" t="s">
        <v>269</v>
      </c>
      <c r="I68" s="11" t="s">
        <v>47</v>
      </c>
      <c r="J68" s="11" t="s">
        <v>55</v>
      </c>
      <c r="K68" s="11">
        <v>0.1</v>
      </c>
      <c r="L68" s="11" t="s">
        <v>46</v>
      </c>
    </row>
    <row r="69" ht="45.0" customHeight="1">
      <c r="A69" s="12" t="s">
        <v>252</v>
      </c>
      <c r="B69" s="12" t="s">
        <v>78</v>
      </c>
      <c r="C69" s="12" t="s">
        <v>79</v>
      </c>
      <c r="D69" s="12" t="s">
        <v>29</v>
      </c>
      <c r="E69" s="6" t="s">
        <v>31</v>
      </c>
      <c r="F69" s="6" t="s">
        <v>271</v>
      </c>
      <c r="G69" s="3"/>
      <c r="H69" s="3"/>
      <c r="I69" s="11" t="s">
        <v>47</v>
      </c>
      <c r="J69" s="11" t="s">
        <v>86</v>
      </c>
      <c r="K69" s="11">
        <v>0.1</v>
      </c>
      <c r="L69" s="11" t="s">
        <v>46</v>
      </c>
    </row>
    <row r="70" ht="144.0" customHeight="1">
      <c r="A70" s="12" t="s">
        <v>252</v>
      </c>
      <c r="B70" s="12" t="s">
        <v>90</v>
      </c>
      <c r="C70" s="12" t="s">
        <v>92</v>
      </c>
      <c r="D70" s="12" t="s">
        <v>29</v>
      </c>
      <c r="E70" s="6" t="s">
        <v>31</v>
      </c>
      <c r="F70" s="6" t="s">
        <v>274</v>
      </c>
      <c r="G70" s="3"/>
      <c r="H70" s="3"/>
      <c r="I70" s="11" t="s">
        <v>47</v>
      </c>
      <c r="J70" s="11" t="s">
        <v>100</v>
      </c>
      <c r="K70" s="11">
        <v>0.1</v>
      </c>
      <c r="L70" s="11" t="s">
        <v>46</v>
      </c>
    </row>
    <row r="71" ht="45.0" customHeight="1">
      <c r="A71" s="12" t="s">
        <v>252</v>
      </c>
      <c r="B71" s="12" t="s">
        <v>105</v>
      </c>
      <c r="C71" s="12" t="s">
        <v>108</v>
      </c>
      <c r="D71" s="12" t="s">
        <v>29</v>
      </c>
      <c r="E71" s="6" t="s">
        <v>31</v>
      </c>
      <c r="F71" s="6" t="s">
        <v>275</v>
      </c>
      <c r="G71" s="3"/>
      <c r="H71" s="3"/>
      <c r="I71" s="11" t="s">
        <v>47</v>
      </c>
      <c r="J71" s="11" t="s">
        <v>113</v>
      </c>
      <c r="K71" s="11">
        <v>0.1</v>
      </c>
      <c r="L71" s="11" t="s">
        <v>46</v>
      </c>
    </row>
    <row r="72" ht="52.5" customHeight="1">
      <c r="A72" s="12" t="s">
        <v>252</v>
      </c>
      <c r="B72" s="12" t="s">
        <v>115</v>
      </c>
      <c r="C72" s="12" t="s">
        <v>117</v>
      </c>
      <c r="D72" s="12" t="s">
        <v>29</v>
      </c>
      <c r="E72" s="6" t="s">
        <v>29</v>
      </c>
      <c r="F72" s="3"/>
      <c r="G72" s="3"/>
      <c r="H72" s="3"/>
      <c r="I72" s="11" t="s">
        <v>47</v>
      </c>
      <c r="J72" s="11" t="s">
        <v>119</v>
      </c>
      <c r="K72" s="11">
        <v>0.1</v>
      </c>
      <c r="L72" s="11" t="s">
        <v>46</v>
      </c>
    </row>
    <row r="73" ht="45.0" customHeight="1">
      <c r="A73" s="12" t="s">
        <v>252</v>
      </c>
      <c r="B73" s="12" t="s">
        <v>120</v>
      </c>
      <c r="C73" s="12" t="s">
        <v>122</v>
      </c>
      <c r="D73" s="12" t="s">
        <v>29</v>
      </c>
      <c r="E73" s="6" t="s">
        <v>29</v>
      </c>
      <c r="F73" s="3"/>
      <c r="G73" s="3"/>
      <c r="H73" s="3"/>
      <c r="I73" s="11" t="s">
        <v>47</v>
      </c>
      <c r="J73" s="11" t="s">
        <v>124</v>
      </c>
      <c r="K73" s="11">
        <v>0.1</v>
      </c>
      <c r="L73" s="11" t="s">
        <v>46</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73">
    <cfRule type="expression" dxfId="0" priority="1">
      <formula>OR(AND($E2="yes",$F2=""),AND(OR($G2="unsure",LEFT($E2,13)="doesn't apply"),$H2=""),AND($F2&lt;&gt;"",$E2&lt;&gt;"yes"))</formula>
    </cfRule>
  </conditionalFormatting>
  <conditionalFormatting sqref="E2:E73">
    <cfRule type="expression" dxfId="1" priority="2">
      <formula>$E2=""</formula>
    </cfRule>
  </conditionalFormatting>
  <dataValidations>
    <dataValidation type="list" allowBlank="1" showErrorMessage="1" sqref="E2:E3 E5:E11 E13:E19 E21:E26 E28:E35 E37:E43 E45:E51 E53:E59 E61:E67 E69:E73">
      <formula1>"yes,no"</formula1>
    </dataValidation>
    <dataValidation type="list" allowBlank="1" showErrorMessage="1" sqref="G2:G73">
      <formula1>"unsure"</formula1>
    </dataValidation>
    <dataValidation type="list" allowBlank="1" showErrorMessage="1" sqref="E4 E12 E20 E36 E44 E52 E60 E68">
      <formula1>"yes,no,doesn't apply: the reply gives no advice"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2" t="s">
        <v>1</v>
      </c>
      <c r="B1" s="2" t="s">
        <v>3</v>
      </c>
      <c r="C1" s="2" t="s">
        <v>4</v>
      </c>
      <c r="D1" s="2" t="s">
        <v>5</v>
      </c>
      <c r="E1" s="2" t="s">
        <v>6</v>
      </c>
      <c r="F1" s="2" t="s">
        <v>8</v>
      </c>
      <c r="G1" s="2" t="s">
        <v>9</v>
      </c>
      <c r="H1" s="2" t="s">
        <v>11</v>
      </c>
      <c r="I1" s="2" t="s">
        <v>12</v>
      </c>
      <c r="J1" s="2" t="s">
        <v>14</v>
      </c>
      <c r="K1" s="2" t="s">
        <v>16</v>
      </c>
      <c r="L1" s="2" t="s">
        <v>17</v>
      </c>
    </row>
    <row r="2" ht="168.75" customHeight="1">
      <c r="A2" s="5" t="s">
        <v>240</v>
      </c>
      <c r="B2" s="7" t="s">
        <v>24</v>
      </c>
      <c r="C2" s="7" t="s">
        <v>27</v>
      </c>
      <c r="D2" s="7" t="s">
        <v>29</v>
      </c>
      <c r="E2" s="9" t="s">
        <v>29</v>
      </c>
      <c r="F2" s="10"/>
      <c r="G2" s="10"/>
      <c r="H2" s="10"/>
      <c r="I2" s="11" t="s">
        <v>244</v>
      </c>
      <c r="J2" s="11" t="s">
        <v>44</v>
      </c>
      <c r="K2" s="11">
        <v>0.1</v>
      </c>
      <c r="L2" s="11" t="s">
        <v>46</v>
      </c>
    </row>
    <row r="3" ht="169.5" customHeight="1">
      <c r="A3" s="12" t="s">
        <v>240</v>
      </c>
      <c r="B3" s="12" t="s">
        <v>48</v>
      </c>
      <c r="C3" s="12" t="s">
        <v>49</v>
      </c>
      <c r="D3" s="12" t="s">
        <v>29</v>
      </c>
      <c r="E3" s="6" t="s">
        <v>29</v>
      </c>
      <c r="F3" s="3"/>
      <c r="G3" s="3"/>
      <c r="H3" s="3"/>
      <c r="I3" s="11" t="s">
        <v>244</v>
      </c>
      <c r="J3" s="11" t="s">
        <v>50</v>
      </c>
      <c r="K3" s="11">
        <v>0.1</v>
      </c>
      <c r="L3" s="11" t="s">
        <v>46</v>
      </c>
    </row>
    <row r="4" ht="337.5" customHeight="1">
      <c r="A4" s="12" t="s">
        <v>240</v>
      </c>
      <c r="B4" s="12" t="s">
        <v>51</v>
      </c>
      <c r="C4" s="12" t="s">
        <v>52</v>
      </c>
      <c r="D4" s="12" t="s">
        <v>53</v>
      </c>
      <c r="E4" s="6" t="s">
        <v>31</v>
      </c>
      <c r="F4" s="6" t="s">
        <v>247</v>
      </c>
      <c r="G4" s="3"/>
      <c r="H4" s="3"/>
      <c r="I4" s="11" t="s">
        <v>244</v>
      </c>
      <c r="J4" s="11" t="s">
        <v>55</v>
      </c>
      <c r="K4" s="11">
        <v>0.1</v>
      </c>
      <c r="L4" s="11" t="s">
        <v>46</v>
      </c>
    </row>
    <row r="5" ht="180.75" customHeight="1">
      <c r="A5" s="12" t="s">
        <v>240</v>
      </c>
      <c r="B5" s="12" t="s">
        <v>57</v>
      </c>
      <c r="C5" s="12" t="s">
        <v>58</v>
      </c>
      <c r="D5" s="12" t="s">
        <v>29</v>
      </c>
      <c r="E5" s="6" t="s">
        <v>31</v>
      </c>
      <c r="F5" s="6" t="s">
        <v>248</v>
      </c>
      <c r="G5" s="3"/>
      <c r="H5" s="3"/>
      <c r="I5" s="11" t="s">
        <v>244</v>
      </c>
      <c r="J5" s="11" t="s">
        <v>63</v>
      </c>
      <c r="K5" s="11">
        <v>0.1</v>
      </c>
      <c r="L5" s="11" t="s">
        <v>46</v>
      </c>
    </row>
    <row r="6" ht="45.0" customHeight="1">
      <c r="A6" s="12" t="s">
        <v>240</v>
      </c>
      <c r="B6" s="12" t="s">
        <v>249</v>
      </c>
      <c r="C6" s="12" t="s">
        <v>250</v>
      </c>
      <c r="D6" s="12" t="s">
        <v>29</v>
      </c>
      <c r="E6" s="6" t="s">
        <v>31</v>
      </c>
      <c r="F6" s="6" t="s">
        <v>251</v>
      </c>
      <c r="G6" s="3"/>
      <c r="H6" s="3"/>
      <c r="I6" s="11" t="s">
        <v>244</v>
      </c>
      <c r="J6" s="11" t="s">
        <v>253</v>
      </c>
      <c r="K6" s="11">
        <v>0.1</v>
      </c>
      <c r="L6" s="11" t="s">
        <v>46</v>
      </c>
    </row>
    <row r="7" ht="45.0" customHeight="1">
      <c r="A7" s="12" t="s">
        <v>240</v>
      </c>
      <c r="B7" s="12" t="s">
        <v>255</v>
      </c>
      <c r="C7" s="12" t="s">
        <v>256</v>
      </c>
      <c r="D7" s="12" t="s">
        <v>29</v>
      </c>
      <c r="E7" s="6" t="s">
        <v>29</v>
      </c>
      <c r="F7" s="3"/>
      <c r="G7" s="3"/>
      <c r="H7" s="3"/>
      <c r="I7" s="11" t="s">
        <v>244</v>
      </c>
      <c r="J7" s="11" t="s">
        <v>258</v>
      </c>
      <c r="K7" s="11">
        <v>0.1</v>
      </c>
      <c r="L7" s="11" t="s">
        <v>46</v>
      </c>
    </row>
    <row r="8" ht="201.0" customHeight="1">
      <c r="A8" s="12" t="s">
        <v>240</v>
      </c>
      <c r="B8" s="12" t="s">
        <v>259</v>
      </c>
      <c r="C8" s="12" t="s">
        <v>260</v>
      </c>
      <c r="D8" s="12" t="s">
        <v>29</v>
      </c>
      <c r="E8" s="6" t="s">
        <v>31</v>
      </c>
      <c r="F8" s="6" t="s">
        <v>261</v>
      </c>
      <c r="G8" s="3"/>
      <c r="H8" s="3"/>
      <c r="I8" s="11" t="s">
        <v>244</v>
      </c>
      <c r="J8" s="11" t="s">
        <v>262</v>
      </c>
      <c r="K8" s="11">
        <v>0.1</v>
      </c>
      <c r="L8" s="11" t="s">
        <v>46</v>
      </c>
    </row>
    <row r="9" ht="45.0" customHeight="1">
      <c r="A9" s="12" t="s">
        <v>240</v>
      </c>
      <c r="B9" s="12" t="s">
        <v>263</v>
      </c>
      <c r="C9" s="12" t="s">
        <v>264</v>
      </c>
      <c r="D9" s="12" t="s">
        <v>29</v>
      </c>
      <c r="E9" s="6" t="s">
        <v>29</v>
      </c>
      <c r="F9" s="3"/>
      <c r="G9" s="3"/>
      <c r="H9" s="3"/>
      <c r="I9" s="11" t="s">
        <v>244</v>
      </c>
      <c r="J9" s="11" t="s">
        <v>266</v>
      </c>
      <c r="K9" s="11">
        <v>0.1</v>
      </c>
      <c r="L9" s="11" t="s">
        <v>46</v>
      </c>
    </row>
    <row r="10" ht="144.0" customHeight="1">
      <c r="A10" s="12" t="s">
        <v>240</v>
      </c>
      <c r="B10" s="12" t="s">
        <v>90</v>
      </c>
      <c r="C10" s="12" t="s">
        <v>92</v>
      </c>
      <c r="D10" s="12" t="s">
        <v>29</v>
      </c>
      <c r="E10" s="6" t="s">
        <v>29</v>
      </c>
      <c r="F10" s="3"/>
      <c r="G10" s="3"/>
      <c r="H10" s="3"/>
      <c r="I10" s="11" t="s">
        <v>244</v>
      </c>
      <c r="J10" s="11" t="s">
        <v>100</v>
      </c>
      <c r="K10" s="11">
        <v>0.1</v>
      </c>
      <c r="L10" s="11" t="s">
        <v>46</v>
      </c>
    </row>
    <row r="11" ht="168.75" customHeight="1">
      <c r="A11" s="5" t="s">
        <v>270</v>
      </c>
      <c r="B11" s="7" t="s">
        <v>24</v>
      </c>
      <c r="C11" s="7" t="s">
        <v>27</v>
      </c>
      <c r="D11" s="7" t="s">
        <v>29</v>
      </c>
      <c r="E11" s="9" t="s">
        <v>31</v>
      </c>
      <c r="F11" s="9" t="s">
        <v>273</v>
      </c>
      <c r="G11" s="10"/>
      <c r="H11" s="10"/>
      <c r="I11" s="11" t="s">
        <v>244</v>
      </c>
      <c r="J11" s="11" t="s">
        <v>44</v>
      </c>
      <c r="K11" s="11">
        <v>0.1</v>
      </c>
      <c r="L11" s="11" t="s">
        <v>46</v>
      </c>
    </row>
    <row r="12" ht="169.5" customHeight="1">
      <c r="A12" s="12" t="s">
        <v>270</v>
      </c>
      <c r="B12" s="12" t="s">
        <v>48</v>
      </c>
      <c r="C12" s="12" t="s">
        <v>49</v>
      </c>
      <c r="D12" s="12" t="s">
        <v>29</v>
      </c>
      <c r="E12" s="6" t="s">
        <v>29</v>
      </c>
      <c r="F12" s="3"/>
      <c r="G12" s="3"/>
      <c r="H12" s="3"/>
      <c r="I12" s="11" t="s">
        <v>244</v>
      </c>
      <c r="J12" s="11" t="s">
        <v>50</v>
      </c>
      <c r="K12" s="11">
        <v>0.1</v>
      </c>
      <c r="L12" s="11" t="s">
        <v>46</v>
      </c>
    </row>
    <row r="13" ht="337.5" customHeight="1">
      <c r="A13" s="12" t="s">
        <v>270</v>
      </c>
      <c r="B13" s="12" t="s">
        <v>51</v>
      </c>
      <c r="C13" s="12" t="s">
        <v>52</v>
      </c>
      <c r="D13" s="12" t="s">
        <v>53</v>
      </c>
      <c r="E13" s="6" t="s">
        <v>31</v>
      </c>
      <c r="F13" s="6" t="s">
        <v>276</v>
      </c>
      <c r="G13" s="3"/>
      <c r="H13" s="3"/>
      <c r="I13" s="11" t="s">
        <v>244</v>
      </c>
      <c r="J13" s="11" t="s">
        <v>55</v>
      </c>
      <c r="K13" s="11">
        <v>0.1</v>
      </c>
      <c r="L13" s="11" t="s">
        <v>46</v>
      </c>
    </row>
    <row r="14" ht="180.75" customHeight="1">
      <c r="A14" s="12" t="s">
        <v>270</v>
      </c>
      <c r="B14" s="12" t="s">
        <v>57</v>
      </c>
      <c r="C14" s="12" t="s">
        <v>58</v>
      </c>
      <c r="D14" s="12" t="s">
        <v>29</v>
      </c>
      <c r="E14" s="6" t="s">
        <v>29</v>
      </c>
      <c r="F14" s="3"/>
      <c r="G14" s="3"/>
      <c r="H14" s="3"/>
      <c r="I14" s="11" t="s">
        <v>244</v>
      </c>
      <c r="J14" s="11" t="s">
        <v>63</v>
      </c>
      <c r="K14" s="11">
        <v>0.1</v>
      </c>
      <c r="L14" s="11" t="s">
        <v>46</v>
      </c>
    </row>
    <row r="15" ht="45.0" customHeight="1">
      <c r="A15" s="12" t="s">
        <v>270</v>
      </c>
      <c r="B15" s="12" t="s">
        <v>249</v>
      </c>
      <c r="C15" s="12" t="s">
        <v>250</v>
      </c>
      <c r="D15" s="12" t="s">
        <v>29</v>
      </c>
      <c r="E15" s="6" t="s">
        <v>31</v>
      </c>
      <c r="F15" s="6" t="s">
        <v>273</v>
      </c>
      <c r="G15" s="3"/>
      <c r="H15" s="3"/>
      <c r="I15" s="11" t="s">
        <v>244</v>
      </c>
      <c r="J15" s="11" t="s">
        <v>253</v>
      </c>
      <c r="K15" s="11">
        <v>0.1</v>
      </c>
      <c r="L15" s="11" t="s">
        <v>46</v>
      </c>
    </row>
    <row r="16" ht="45.0" customHeight="1">
      <c r="A16" s="12" t="s">
        <v>270</v>
      </c>
      <c r="B16" s="12" t="s">
        <v>255</v>
      </c>
      <c r="C16" s="12" t="s">
        <v>256</v>
      </c>
      <c r="D16" s="12" t="s">
        <v>29</v>
      </c>
      <c r="E16" s="6" t="s">
        <v>29</v>
      </c>
      <c r="F16" s="3"/>
      <c r="G16" s="3"/>
      <c r="H16" s="3"/>
      <c r="I16" s="11" t="s">
        <v>244</v>
      </c>
      <c r="J16" s="11" t="s">
        <v>258</v>
      </c>
      <c r="K16" s="11">
        <v>0.1</v>
      </c>
      <c r="L16" s="11" t="s">
        <v>46</v>
      </c>
    </row>
    <row r="17" ht="201.0" customHeight="1">
      <c r="A17" s="12" t="s">
        <v>270</v>
      </c>
      <c r="B17" s="12" t="s">
        <v>259</v>
      </c>
      <c r="C17" s="12" t="s">
        <v>260</v>
      </c>
      <c r="D17" s="12" t="s">
        <v>29</v>
      </c>
      <c r="E17" s="6" t="s">
        <v>29</v>
      </c>
      <c r="F17" s="3"/>
      <c r="G17" s="3"/>
      <c r="H17" s="3"/>
      <c r="I17" s="11" t="s">
        <v>244</v>
      </c>
      <c r="J17" s="11" t="s">
        <v>262</v>
      </c>
      <c r="K17" s="11">
        <v>0.1</v>
      </c>
      <c r="L17" s="11" t="s">
        <v>46</v>
      </c>
    </row>
    <row r="18" ht="45.0" customHeight="1">
      <c r="A18" s="12" t="s">
        <v>270</v>
      </c>
      <c r="B18" s="12" t="s">
        <v>263</v>
      </c>
      <c r="C18" s="12" t="s">
        <v>264</v>
      </c>
      <c r="D18" s="12" t="s">
        <v>29</v>
      </c>
      <c r="E18" s="6" t="s">
        <v>29</v>
      </c>
      <c r="F18" s="3"/>
      <c r="G18" s="3"/>
      <c r="H18" s="3"/>
      <c r="I18" s="11" t="s">
        <v>244</v>
      </c>
      <c r="J18" s="11" t="s">
        <v>266</v>
      </c>
      <c r="K18" s="11">
        <v>0.1</v>
      </c>
      <c r="L18" s="11" t="s">
        <v>46</v>
      </c>
    </row>
    <row r="19" ht="144.0" customHeight="1">
      <c r="A19" s="12" t="s">
        <v>270</v>
      </c>
      <c r="B19" s="12" t="s">
        <v>90</v>
      </c>
      <c r="C19" s="12" t="s">
        <v>92</v>
      </c>
      <c r="D19" s="12" t="s">
        <v>29</v>
      </c>
      <c r="E19" s="6" t="s">
        <v>29</v>
      </c>
      <c r="F19" s="3"/>
      <c r="G19" s="3"/>
      <c r="H19" s="3"/>
      <c r="I19" s="11" t="s">
        <v>244</v>
      </c>
      <c r="J19" s="11" t="s">
        <v>100</v>
      </c>
      <c r="K19" s="11">
        <v>0.1</v>
      </c>
      <c r="L19" s="11" t="s">
        <v>46</v>
      </c>
    </row>
    <row r="20" ht="168.75" customHeight="1">
      <c r="A20" s="5" t="s">
        <v>279</v>
      </c>
      <c r="B20" s="7" t="s">
        <v>24</v>
      </c>
      <c r="C20" s="7" t="s">
        <v>27</v>
      </c>
      <c r="D20" s="7" t="s">
        <v>29</v>
      </c>
      <c r="E20" s="9" t="s">
        <v>31</v>
      </c>
      <c r="F20" s="9" t="s">
        <v>280</v>
      </c>
      <c r="G20" s="10"/>
      <c r="H20" s="10"/>
      <c r="I20" s="11" t="s">
        <v>244</v>
      </c>
      <c r="J20" s="11" t="s">
        <v>44</v>
      </c>
      <c r="K20" s="11">
        <v>0.1</v>
      </c>
      <c r="L20" s="11" t="s">
        <v>46</v>
      </c>
    </row>
    <row r="21" ht="169.5" customHeight="1">
      <c r="A21" s="12" t="s">
        <v>279</v>
      </c>
      <c r="B21" s="12" t="s">
        <v>48</v>
      </c>
      <c r="C21" s="12" t="s">
        <v>49</v>
      </c>
      <c r="D21" s="12" t="s">
        <v>29</v>
      </c>
      <c r="E21" s="6" t="s">
        <v>29</v>
      </c>
      <c r="F21" s="3"/>
      <c r="G21" s="3"/>
      <c r="H21" s="3"/>
      <c r="I21" s="11" t="s">
        <v>244</v>
      </c>
      <c r="J21" s="11" t="s">
        <v>50</v>
      </c>
      <c r="K21" s="11">
        <v>0.1</v>
      </c>
      <c r="L21" s="11" t="s">
        <v>46</v>
      </c>
    </row>
    <row r="22" ht="337.5" customHeight="1">
      <c r="A22" s="12" t="s">
        <v>279</v>
      </c>
      <c r="B22" s="12" t="s">
        <v>51</v>
      </c>
      <c r="C22" s="12" t="s">
        <v>52</v>
      </c>
      <c r="D22" s="12" t="s">
        <v>53</v>
      </c>
      <c r="E22" s="6" t="s">
        <v>31</v>
      </c>
      <c r="F22" s="6" t="s">
        <v>281</v>
      </c>
      <c r="G22" s="3"/>
      <c r="H22" s="3"/>
      <c r="I22" s="11" t="s">
        <v>244</v>
      </c>
      <c r="J22" s="11" t="s">
        <v>55</v>
      </c>
      <c r="K22" s="11">
        <v>0.1</v>
      </c>
      <c r="L22" s="11" t="s">
        <v>46</v>
      </c>
    </row>
    <row r="23" ht="180.75" customHeight="1">
      <c r="A23" s="12" t="s">
        <v>279</v>
      </c>
      <c r="B23" s="12" t="s">
        <v>57</v>
      </c>
      <c r="C23" s="12" t="s">
        <v>58</v>
      </c>
      <c r="D23" s="12" t="s">
        <v>29</v>
      </c>
      <c r="E23" s="6" t="s">
        <v>29</v>
      </c>
      <c r="F23" s="3"/>
      <c r="G23" s="3"/>
      <c r="H23" s="3"/>
      <c r="I23" s="11" t="s">
        <v>244</v>
      </c>
      <c r="J23" s="11" t="s">
        <v>63</v>
      </c>
      <c r="K23" s="11">
        <v>0.1</v>
      </c>
      <c r="L23" s="11" t="s">
        <v>46</v>
      </c>
    </row>
    <row r="24" ht="45.0" customHeight="1">
      <c r="A24" s="12" t="s">
        <v>279</v>
      </c>
      <c r="B24" s="12" t="s">
        <v>249</v>
      </c>
      <c r="C24" s="12" t="s">
        <v>250</v>
      </c>
      <c r="D24" s="12" t="s">
        <v>29</v>
      </c>
      <c r="E24" s="6" t="s">
        <v>31</v>
      </c>
      <c r="F24" s="6" t="s">
        <v>282</v>
      </c>
      <c r="G24" s="3"/>
      <c r="H24" s="3"/>
      <c r="I24" s="11" t="s">
        <v>244</v>
      </c>
      <c r="J24" s="11" t="s">
        <v>253</v>
      </c>
      <c r="K24" s="11">
        <v>0.1</v>
      </c>
      <c r="L24" s="11" t="s">
        <v>46</v>
      </c>
    </row>
    <row r="25" ht="45.0" customHeight="1">
      <c r="A25" s="12" t="s">
        <v>279</v>
      </c>
      <c r="B25" s="12" t="s">
        <v>255</v>
      </c>
      <c r="C25" s="12" t="s">
        <v>256</v>
      </c>
      <c r="D25" s="12" t="s">
        <v>29</v>
      </c>
      <c r="E25" s="6" t="s">
        <v>29</v>
      </c>
      <c r="F25" s="3"/>
      <c r="G25" s="3"/>
      <c r="H25" s="3"/>
      <c r="I25" s="11" t="s">
        <v>244</v>
      </c>
      <c r="J25" s="11" t="s">
        <v>258</v>
      </c>
      <c r="K25" s="11">
        <v>0.1</v>
      </c>
      <c r="L25" s="11" t="s">
        <v>46</v>
      </c>
    </row>
    <row r="26" ht="201.0" customHeight="1">
      <c r="A26" s="12" t="s">
        <v>279</v>
      </c>
      <c r="B26" s="12" t="s">
        <v>259</v>
      </c>
      <c r="C26" s="12" t="s">
        <v>260</v>
      </c>
      <c r="D26" s="12" t="s">
        <v>29</v>
      </c>
      <c r="E26" s="6" t="s">
        <v>31</v>
      </c>
      <c r="F26" s="6" t="s">
        <v>283</v>
      </c>
      <c r="G26" s="3"/>
      <c r="H26" s="3"/>
      <c r="I26" s="11" t="s">
        <v>244</v>
      </c>
      <c r="J26" s="11" t="s">
        <v>262</v>
      </c>
      <c r="K26" s="11">
        <v>0.1</v>
      </c>
      <c r="L26" s="11" t="s">
        <v>46</v>
      </c>
    </row>
    <row r="27" ht="45.0" customHeight="1">
      <c r="A27" s="12" t="s">
        <v>279</v>
      </c>
      <c r="B27" s="12" t="s">
        <v>263</v>
      </c>
      <c r="C27" s="12" t="s">
        <v>264</v>
      </c>
      <c r="D27" s="12" t="s">
        <v>29</v>
      </c>
      <c r="E27" s="6" t="s">
        <v>29</v>
      </c>
      <c r="F27" s="3"/>
      <c r="G27" s="3"/>
      <c r="H27" s="3"/>
      <c r="I27" s="11" t="s">
        <v>244</v>
      </c>
      <c r="J27" s="11" t="s">
        <v>266</v>
      </c>
      <c r="K27" s="11">
        <v>0.1</v>
      </c>
      <c r="L27" s="11" t="s">
        <v>46</v>
      </c>
    </row>
    <row r="28" ht="144.0" customHeight="1">
      <c r="A28" s="12" t="s">
        <v>279</v>
      </c>
      <c r="B28" s="12" t="s">
        <v>90</v>
      </c>
      <c r="C28" s="12" t="s">
        <v>92</v>
      </c>
      <c r="D28" s="12" t="s">
        <v>29</v>
      </c>
      <c r="E28" s="6" t="s">
        <v>31</v>
      </c>
      <c r="F28" s="6" t="s">
        <v>284</v>
      </c>
      <c r="G28" s="3"/>
      <c r="H28" s="3"/>
      <c r="I28" s="11" t="s">
        <v>244</v>
      </c>
      <c r="J28" s="11" t="s">
        <v>100</v>
      </c>
      <c r="K28" s="11">
        <v>0.1</v>
      </c>
      <c r="L28" s="11" t="s">
        <v>46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8">
    <cfRule type="expression" dxfId="0" priority="1">
      <formula>OR(AND($E2="yes",$F2=""),AND(OR($G2="unsure",LEFT($E2,13)="doesn't apply"),$H2=""),AND($F2&lt;&gt;"",$E2&lt;&gt;"yes"))</formula>
    </cfRule>
  </conditionalFormatting>
  <conditionalFormatting sqref="E2:E28">
    <cfRule type="expression" dxfId="1" priority="2">
      <formula>$E2=""</formula>
    </cfRule>
  </conditionalFormatting>
  <dataValidations>
    <dataValidation type="list" allowBlank="1" showErrorMessage="1" sqref="E2:E3 E6:E12 E15:E21 E24:E28">
      <formula1>"yes,no"</formula1>
    </dataValidation>
    <dataValidation type="list" allowBlank="1" showErrorMessage="1" sqref="E5 E14 E23">
      <formula1>"yes,no,doesn't apply: Dani's message has no question or request"</formula1>
    </dataValidation>
    <dataValidation type="list" allowBlank="1" showErrorMessage="1" sqref="G2:G28">
      <formula1>"unsure"</formula1>
    </dataValidation>
    <dataValidation type="list" allowBlank="1" showErrorMessage="1" sqref="E4 E13 E22">
      <formula1>"yes,no,doesn't apply: the reply gives no advice"</formula1>
    </dataValidation>
  </dataValidations>
  <printOptions/>
  <pageMargins bottom="1.0" footer="0.0" header="0.0" left="0.75" right="0.75" top="1.0"/>
  <pageSetup orientation="landscape"/>
  <drawing r:id="rId1"/>
</worksheet>
</file>