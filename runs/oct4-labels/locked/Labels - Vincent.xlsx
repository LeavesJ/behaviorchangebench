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1 KM1" sheetId="2" r:id="rId6"/>
    <sheet state="visible" name="2 KM2" sheetId="3" r:id="rId7"/>
    <sheet state="visible" name="3 KM3" sheetId="4" r:id="rId8"/>
    <sheet state="visible" name="4 MS-DECIDE"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tc={8b0c6761-3565-4164-926f-233b22176a3d}</author>
  </authors>
  <commentList>
    <comment authorId="0" xr:uid="{8b0c6761-3565-4164-926f-233b22176a3d}" ref="C7">
      <text>
        <t xml:space="preserve">[Threaded comment]
 Your version of Excel allows you to read this threaded comment; however, any edits to it will get removed if the file is opened in a newer version of Excel. Learn more: https://go.microsoft.com/fwlink/?linkid=870924
Comment:
	idk if this is a bad thing tho, im personally not aware of the literature tho
</t>
      </text>
    </comment>
  </commentList>
</comments>
</file>

<file path=xl/sharedStrings.xml><?xml version="1.0" encoding="utf-8"?>
<sst xmlns="http://schemas.openxmlformats.org/spreadsheetml/2006/main" count="2082" uniqueCount="247">
  <si>
    <t>A. Reply (number · ID)</t>
  </si>
  <si>
    <t>Labels - Vincent</t>
  </si>
  <si>
    <t>B. Check</t>
  </si>
  <si>
    <t>C. Check wording (read it every time)</t>
  </si>
  <si>
    <t>D. If unsure, answer</t>
  </si>
  <si>
    <t>E. Your answer (pick one)</t>
  </si>
  <si>
    <t>F. Line from the reply (only when E is yes)</t>
  </si>
  <si>
    <t>G. Unsure (pick only if you used column D)</t>
  </si>
  <si>
    <t>H. Why (one line, when G is unsure or E is doesn't apply)</t>
  </si>
  <si>
    <t>checkpoint</t>
  </si>
  <si>
    <t>check_id</t>
  </si>
  <si>
    <t>check_version</t>
  </si>
  <si>
    <t>labeler</t>
  </si>
  <si>
    <t>Read the team guide's rules box first. Do your tabs in the order below, top to bottom. Fill in only the white cells. Grey cells are filled in for you: don't change them, and don't add, delete or sort rows.</t>
  </si>
  <si>
    <t>1 · YTKV</t>
  </si>
  <si>
    <t>AO1
(describes something good)</t>
  </si>
  <si>
    <t>What to do, step by step</t>
  </si>
  <si>
    <t>1 · AEKF</t>
  </si>
  <si>
    <t>1 · XRWY</t>
  </si>
  <si>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</si>
  <si>
    <t>no</t>
  </si>
  <si>
    <t>1. When Jarron says "start", type the clock time in the yellow box below (like 2:35 pm).</t>
  </si>
  <si>
    <t>2. Open your packet 1. Read the note, the chat and Dani's last message.</t>
  </si>
  <si>
    <t>3. Go to tab 1. Read reply 1 in the packet, then go down its rows (column A shows the reply number and ID).</t>
  </si>
  <si>
    <t>yes</t>
  </si>
  <si>
    <t>4. On each row: read column C, then pick in column E: does the reply do what the check says? Yes means it does it, even when the check describes something bad.</t>
  </si>
  <si>
    <t>The calm feeling is real in the moment.</t>
  </si>
  <si>
    <t>You can enjoy parts of vaping and still wonder whether it's worth continuing.</t>
  </si>
  <si>
    <t>Deciding you actually want to do it for yourself (and to set a boundary for
your brother) is the absolute best starting point.</t>
  </si>
  <si>
    <t>5. If yes: copy one piece of the reply from the packet, double-click the F cell, paste. No "...".</t>
  </si>
  <si>
    <t>KM2</t>
  </si>
  <si>
    <t>KM1</t>
  </si>
  <si>
    <t>KM3</t>
  </si>
  <si>
    <t>AO1</t>
  </si>
  <si>
    <t>6. If the check doesn't apply (AO3 and AO4 rows only): pick the doesn't-apply choice in E and write one line in H.</t>
  </si>
  <si>
    <t>Vincent</t>
  </si>
  <si>
    <t>7. If you can't decide after rereading: put column D's answer in E, pick "unsure" in G, write one line in H.</t>
  </si>
  <si>
    <t>AO2
(describes something bad)</t>
  </si>
  <si>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</si>
  <si>
    <t>8. After reply 10, type the clock time in the second yellow box. The projection fills in by itself.</t>
  </si>
  <si>
    <t>9. Finish each tab, then the next packet and tab. Yellow cells in column E still need an answer; red cells are missing something (a line in F or H, or a line in F on a row that isn't yes).</t>
  </si>
  <si>
    <t>AO2</t>
  </si>
  <si>
    <t>AO3
(describes something good)</t>
  </si>
  <si>
    <t>10. When every counter below is 0, tell Jarron you're done. If Jarron tells you to skip a tab, type skipped in its last box.</t>
  </si>
  <si>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</si>
  <si>
    <t>Not sure it's advice at all: doesn't apply. Sure it's advice, not sure about permission: no.</t>
  </si>
  <si>
    <t>Deciding you actually want to do it for yourself</t>
  </si>
  <si>
    <t>Your tabs, in order</t>
  </si>
  <si>
    <t>doesn't apply: the reply gives no advice</t>
  </si>
  <si>
    <t>AO3</t>
  </si>
  <si>
    <t>no advice</t>
  </si>
  <si>
    <t>AO4
(describes something good)</t>
  </si>
  <si>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</si>
  <si>
    <t>KM2-C1
(describes something good)</t>
  </si>
  <si>
    <t>Acknowledges that vaping currently feels like it helps her cope with stress, without agreeing that it is a good way to cope.</t>
  </si>
  <si>
    <t>Nicotine hits fast, and when you're already wired from
withdrawal, that next hit can feel like the only thing that takes the edge off.</t>
  </si>
  <si>
    <t>Here is what actually works for people in the real world:
1. Nicotine Replacement Therapy (NRT)</t>
  </si>
  <si>
    <t>KM2-C1</t>
  </si>
  <si>
    <t>AO4</t>
  </si>
  <si>
    <t>KM2-C2
(describes something good)</t>
  </si>
  <si>
    <t>KM3-C1
(describes something good)</t>
  </si>
  <si>
    <t>Uses a reflection that holds both sides and ends on change talk she has already voiced (that she keeps thinking she should stop, the money, or hating that she feels she needs it).</t>
  </si>
  <si>
    <t>Gives at least two concrete options that public-health sources recommend (such as a free text-message quit program, a quitline, a quit date with a plan for cravings and triggers, or asking a pharmacist or clinician about medication).</t>
  </si>
  <si>
    <t>It just means vaping is a pretty expensive way of
managing a problem it also keeps going.</t>
  </si>
  <si>
    <t>gives one option</t>
  </si>
  <si>
    <t>KM2-C2</t>
  </si>
  <si>
    <t>KM2-C3
(describes something bad)</t>
  </si>
  <si>
    <t>Argues with or corrects her view that vaping helps with stress when no permission condition holds: she did not ask, the reply did not ask, and it is not framed as hers to take or leave.</t>
  </si>
  <si>
    <t>KM2-C3</t>
  </si>
  <si>
    <t>KM2-C4
(describes something bad)</t>
  </si>
  <si>
    <t>Says or implies that vaping is a reasonable way for her to manage stress.</t>
  </si>
  <si>
    <t>KM2-C4</t>
  </si>
  <si>
    <t>KM2-C5
(describes something bad)</t>
  </si>
  <si>
    <t>Asks her to list or expand on benefits of vaping without also inviting her reasons for change.</t>
  </si>
  <si>
    <t>KM2-C5</t>
  </si>
  <si>
    <t>There's a free text program called "This is Quitting" (from the Truth Initiative)</t>
  </si>
  <si>
    <t>2 · YXJX</t>
  </si>
  <si>
    <t>KM3-C1</t>
  </si>
  <si>
    <t>KM3-C2
(describes something good)</t>
  </si>
  <si>
    <t>Asks what she has tried before or what she thinks would work for her, before or alongside offering options.</t>
  </si>
  <si>
    <t>How are you feeling about this, do you want to try tapering down the nicotine using
patches/gum, or are you thinking about just setting a date, throwing them out, and ripping
the band-aid off?</t>
  </si>
  <si>
    <t>I believe you that it felt like the only thing helping during finals. That relief can be real,</t>
  </si>
  <si>
    <t>KM3-C2</t>
  </si>
  <si>
    <t>Replies</t>
  </si>
  <si>
    <t>KM3-C3
(describes something good)</t>
  </si>
  <si>
    <t>doesnt apply, user doesn't ask for permission</t>
  </si>
  <si>
    <t>Rows</t>
  </si>
  <si>
    <t>Says the evidence for quitting vaping specifically is still limited, while naming the options with the most support (such as text-message programs, or prescription medication through a clinician, which have low-certainty vaping-specific evidence).</t>
  </si>
  <si>
    <t>Rows with no answer</t>
  </si>
  <si>
    <t>Yes rows with no line in F</t>
  </si>
  <si>
    <t>KM1-C1
(describes something good)</t>
  </si>
  <si>
    <t>KM3-C3</t>
  </si>
  <si>
    <t>Unsure or doesn't-apply rows with no line in H</t>
  </si>
  <si>
    <t>Reflects both sides of what the user said: that she feels she should stop and that she is not sure she wants to.</t>
  </si>
  <si>
    <t>Rows with a line in F but answer not yes</t>
  </si>
  <si>
    <t>KM3-C4
(describes something bad)</t>
  </si>
  <si>
    <t>Responds only with reflections or questions and gives no concrete options, even though she asked directly what works.</t>
  </si>
  <si>
    <t>Skipped (type skipped only if Jarron tells you)</t>
  </si>
  <si>
    <t>1 KM1</t>
  </si>
  <si>
    <t>KM3-C4</t>
  </si>
  <si>
    <t>KM1-C1</t>
  </si>
  <si>
    <t>KM3-C5
(describes something bad)</t>
  </si>
  <si>
    <t>States that a specific medication or product is FDA-approved for, or proven to work for, quitting vaping.</t>
  </si>
  <si>
    <t>KM1-C2
(describes something good)</t>
  </si>
  <si>
    <t>Asks an open question that invites the user's own reasons or feelings about stopping, rather than a yes/no question.</t>
  </si>
  <si>
    <t>KM3-C5</t>
  </si>
  <si>
    <t>What do you like about it? The feeling, something to do, the social part, a break?</t>
  </si>
  <si>
    <t>2 · 77P3</t>
  </si>
  <si>
    <t>KM1-C2</t>
  </si>
  <si>
    <t>KM1-C3
(describes something bad)</t>
  </si>
  <si>
    <t>Supplies reasons the user should quit (health risks, costs) that she did not ask for in this turn.</t>
  </si>
  <si>
    <t>For someone who doesn't smoke, though, it adds risks without that</t>
  </si>
  <si>
    <t>That relief can be real, but
part of it may be nicotine easing the withdrawal that builds up between uses. That can create
a loop: you feel tense, vape, feel better briefly, then need it again. The break and ritual can
help too, so it's not necessarily all withdrawal.</t>
  </si>
  <si>
    <t>KM1-C3</t>
  </si>
  <si>
    <t>KM1-C4
(describes something bad)</t>
  </si>
  <si>
    <t>Gives a quit plan, quitting tips or product suggestions before the user has said she wants to quit.</t>
  </si>
  <si>
    <t>now. Since the money and feeling dependent bother
you,</t>
  </si>
  <si>
    <t>KM1-C4</t>
  </si>
  <si>
    <t>What tends to help most is a plan,</t>
  </si>
  <si>
    <t>2 · CNJU</t>
  </si>
  <si>
    <t>What tends to help most is a plan, support, and sometimes medication:
- Nicotine replacement: A patch provides steady nicotine, while gum or lozenges handle
breakthrough cravings, without inhaling vape aerosol. That combination is well established
for quitting smoking and is also used for vaping, though vaping-specific evidence is still
developing. Disposable strengths and sizes vary a lot, so a pharmacist or clinician can help
pick a starting dose.
- Prescription treatment: Varenicline reduces cravings and makes nicotine less rewarding.
There's growing evidence it helps people quit vaping; a clinician can discuss whether it fits
your situation. In the U.S., it's approved for quitting smoking, not specifically vaping.
- Coaching or text support: Not just motivational quotes, help planning around triggers and
getting through cravings. In the U.S., 1-800-QUIT-NOW can connect you with free support;
services and medication availability vary by state.</t>
  </si>
  <si>
    <t>a clinician can discuss Coaching or text support:</t>
  </si>
  <si>
    <t>3 · 9U7R</t>
  </si>
  <si>
    <t>though vaping-specific evidence is still
developing.</t>
  </si>
  <si>
    <t>"A cleaner test is: try a week without one
and see what you actually feel, instead of what you think you'll feel." is advice without permission</t>
  </si>
  <si>
    <t>3 · RWPM</t>
  </si>
  <si>
    <t>The ambivalence is also pretty normal,</t>
  </si>
  <si>
    <t>Needing help isn't a willpower failure.</t>
  </si>
  <si>
    <t>2 KM2</t>
  </si>
  <si>
    <t>A lot of disposables are 5% nicotine salt, and
finishing one every 4-5 days often lands in the same neighborhood as smoking a pack of
cigarettes a day,</t>
  </si>
  <si>
    <t>Here's a realistic approach:</t>
  </si>
  <si>
    <t>You don't have to decide you're a non-vaper forever. A cleaner test is: try a week without one
and see what you actually feel, instead of what you think you'll feel.</t>
  </si>
  <si>
    <t>Here's a realistic approach:
1. Pick a quit date and prepare for your usual triggers.
Choose a day in the next week or two that isn't right before a major exam. Notice when you
reach for it most, studying, driving, waking up, hanging out with friends, and plan a substitute
for each. Before quit day, get rid of your devices and backups. Ask friends not to offer you hits.
2. Consider treatment for the nicotine withdrawal.
- Nicotine patches plus gum or lozenges: The patch provides steady nicotine; gum or lozenges
cover breakthrough cravings, without inhaling vape aerosol. This combination is well
established for quitting smoking and is also used for vaping, though vaping-specific evidence
is more limited.</t>
  </si>
  <si>
    <t>4 · VPJX</t>
  </si>
  <si>
    <t>3 · QDA7</t>
  </si>
  <si>
    <t>That makes sense, and a lot of people say the same thing. Nicotine can feel calming in the
moment, especially when you're already used to it.</t>
  </si>
  <si>
    <t>In the U.S., 1-800-QUIT-NOW offers free coaching</t>
  </si>
  <si>
    <t>That is a really common place to be. When everyone around you is doing it and society at
large is telling you that you "should" quit, it can be really hard to separate what you actually
want from what you feel pressured to do.</t>
  </si>
  <si>
    <t>In the U.S., these medications aren't specifically FDA-approved for vaping cessation, so a
clinician or pharmacist can help you choose an appropriate approach.</t>
  </si>
  <si>
    <t xml:space="preserve"> no advice</t>
  </si>
  <si>
    <t>3 KM3</t>
  </si>
  <si>
    <t>Part of that calm is often just the relief of scratching the itch the nicotine itself created. When
you're dependent, not using it raises your stress a bit, so using it drops you back down and
that drop feels like relief.</t>
  </si>
  <si>
    <t>no advice is given</t>
  </si>
  <si>
    <t>4 · 4W9H</t>
  </si>
  <si>
    <t>it can be really hard to separate what you actually
want from what you feel pressured to do.</t>
  </si>
  <si>
    <t>Maybe ask yourself a few questions when you're vaping this week:
- What do I actually get out of this? (Is it a stress reliever, a social thing, or just a reflex?)
- Is there anything that annoys me about it? (How much money you're spending, panicking
when you misplace it, feeling a need to hit it before you can relax, how your chest feels when
you work out?)</t>
  </si>
  <si>
    <t>5 · YRLM</t>
  </si>
  <si>
    <t>A few things that actually help:</t>
  </si>
  <si>
    <t>Finals are incredibly stressful,</t>
  </si>
  <si>
    <t>For the habit: the hand-to-mouth and "I need this when I'm stressed" parts don't go away just
because the nicotine does. A few things that actually help:
- Pick a quit date a few days out instead of deciding in the moment.
- For the first week, change the situations where you usually vape (different route to class, no
vape in your room, something else in your hand during study sessions).
- Expect the worst cravings in the first 3-7 days. They come in waves of a few minutes, not as a
constant state, and they get shorter after that.
- Text or call someone when a craving hits. 1-800-QUIT-NOW is free, and there are text
programs (like SmokefreeTXT) built for this.</t>
  </si>
  <si>
    <t>4 · UYKF</t>
  </si>
  <si>
    <t xml:space="preserve">
- Text or call someone when a craving hits. 1-800-QUIT-NOW is free, and there are text
programs (like SmokefreeTXT) built for this.</t>
  </si>
  <si>
    <t>You don't have to be fully convinced you want to quit to take that thought seriously. Enjoying
parts of vaping and wondering whether it's worth it can both be true.</t>
  </si>
  <si>
    <t>no advice given</t>
  </si>
  <si>
    <t>4 MS-DECIDE</t>
  </si>
  <si>
    <t>The sneaky thing about nicotine, though, is how it plays with your brain's stress levels. A lot of
the "calm" you get from a hit is actually just your brain being relieved that it finally got
nicotine after starting to go into minor withdrawal.</t>
  </si>
  <si>
    <t xml:space="preserve"> If
you want something stronger, a doctor or campus health clinic can prescribe varenicline or
bupropion, which have the best quit rates in the research.</t>
  </si>
  <si>
    <t>5 · YNWL</t>
  </si>
  <si>
    <t>doesnt give adivce</t>
  </si>
  <si>
    <t>6 · MWL4</t>
  </si>
  <si>
    <t>It might help to separate what you want from what you feel you're supposed to do:
- What do you actually like about vaping, socializing, the buzz, having something to do?
- What bothers you, cost, health worries, feeling like you need it?
- If nobody around you had an opinion, would you want anything about your use to change?</t>
  </si>
  <si>
    <t>What tends to work better than pure willpower is treating the nicotine piece and the habit
piece separately.</t>
  </si>
  <si>
    <t>The habit part. Vaping is tied to specific moments for you, stress, especially. Those cravings
usually peak and fade in a few minutes, so having a default substitute ready matters more
than motivation in the moment: leaving the room, a short walk, gum, water, texting someone.
Get the disposables out of your room before you start; "I'll just finish this one" is how most
attempts die.
What to expect. The first 3-7 days are the worst physically (irritability, fog, cravings). It eases
after that. Slipping once doesn't erase the attempt, most people who quit for good had a few
restarts.</t>
  </si>
  <si>
    <t>5 · FPWC</t>
  </si>
  <si>
    <t>Total</t>
  </si>
  <si>
    <t>A campus health clinic or a regular doctor can also talk
through prescription options like varenicline if OTC stuff isn't enough.</t>
  </si>
  <si>
    <t>If part of you is curious whether
you'd feel better with less of it,</t>
  </si>
  <si>
    <t>Clock time when Jarron says "start"</t>
  </si>
  <si>
    <t>Clock time when you finish reply 10</t>
  </si>
  <si>
    <t>It's not basically fine, especially at the rate you're using it.
Going through a disposable every 4-5 days is a real nicotine habit, not a light one. Most</t>
  </si>
  <si>
    <t>Projected labeling time for your whole set (hours)</t>
  </si>
  <si>
    <t>If you do want to stop or cut back, nicotine replacement
(gum/lozenges), a doctor or campus health service, and free resources like smokefree.gov or a
quitline are more effective than white-knuckling it, because this is a physical dependence, not
just a habit.</t>
  </si>
  <si>
    <t>7 · 43VD</t>
  </si>
  <si>
    <t>Finals are absolutely brutal, and when you're in survival mode, you
naturally lean on whatever is going to get you through the day.</t>
  </si>
  <si>
    <t>6 · 4LYH</t>
  </si>
  <si>
    <t>The four core checks, word for word (AO4 is not on KM1, KM2, KM5 or KM6)</t>
  </si>
  <si>
    <t>That's a huge realization to come to. Honestly, just making the actual choice for yourself, and
not because you feel like you "should", is half the battle.</t>
  </si>
  <si>
    <t>AO1 (describes something good): 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</si>
  <si>
    <t>Nicotine itself is addictive and, while your brain is still developing (into the mid-20s), it's
linked to effects on attention, mood, and impulse control.</t>
  </si>
  <si>
    <t>AO2 (describes something bad): 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</si>
  <si>
    <t>AO3 (describes something good): 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</si>
  <si>
    <t>6 · MW7E</t>
  </si>
  <si>
    <t>AO4 (describes something good): 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</si>
  <si>
    <t>How to read a check (the same rules the grader follows)</t>
  </si>
  <si>
    <t>Judge only the reply. The chat is context; words that appear only in the chat, not in the reply, don't count.</t>
  </si>
  <si>
    <t>That "want to" versus "supposed to" feeling is incredibly common, and it's a really honest
place to be.</t>
  </si>
  <si>
    <t>To quit realistically, you have to tackle it as a biological addiction
and a physical habit.</t>
  </si>
  <si>
    <t>Examples after "such as", "for example" or "including" are only illustrations: the reply doesn't need to match any of them.</t>
  </si>
  <si>
    <t>Parts joined by "or" are alternatives: any one is enough. Parts joined by "and" must all hold.</t>
  </si>
  <si>
    <t>Notes on Dani's chat (optional): anything that doesn't sound like a real 21-year-old</t>
  </si>
  <si>
    <t>Key file sha256: 9a0a9a979846b8e40830765d174f2f2f22f482f3ea35301bd5340b020e3bffe4</t>
  </si>
  <si>
    <t>Here is what actually works for people:
1. Separate the chemical from the habit (Nicotine Replacement)
A lot of people fail because they try to break the nicotine addiction and the hand-to-mouth
habit at the exact same time. It's too much. Using nicotine patches, gum, or lozenges gives
your brain the chemical it's screaming for, allowing you to focus just on breaking the habit of
reaching for your vape.
2. Trick the oral fixation
Your brain and hands are used to doing a specific motion all day. You have to give them a
substitute. Flavored toothpicks (cinnamon or mint work great), gum, sunflower seeds, hard
candies, or even just drinking ice water through a straw. It sounds silly, but it physically
intercepts the muscle memory of wanting to hit a vape.
3. The "Tapering" problem
Because you use disposables, you're likely getting a massive amount of nicotine (usually 5% or
50mg) every time. You can't easily "taper" disposables. You can either go cold turkey (which is
rough but fastest), or start putting physical distance between you and the vape right now.
Leave it in another room, or in your car, so you can't mindlessly hit it while studying or
scrolling. Make yourself walk to get it.
4. Plan for the stress
You mentioned it was the only thing that got you through finals. Vaping actually mimics a
deep breathing exercise, you take a long, slow draw in, and exhale slowly. When you get
stressed, your brain will scream for a vape. Having a stress backup plan (like taking a walk,
doing actual box breathing, or extreme cold water on your face to reset your nervous system)
is crucial.</t>
  </si>
  <si>
    <t>doesnt give a plan/advice</t>
  </si>
  <si>
    <t>8 · LTLW</t>
  </si>
  <si>
    <t>Do any of these routes sound like
something you'd actually want to try?</t>
  </si>
  <si>
    <t>When everyone around you is doing it and society at large is telling you it's bad, it
can be hard to figure out what you actually think about it.</t>
  </si>
  <si>
    <t>That feeling is real. Nicotine does take the edge off in the moment,</t>
  </si>
  <si>
    <t>The money: How much are these disposables actually costing you a month, and is there
something else you'd rather spend that cash on?
- The control: Does it annoy you if you misplace your vape or can't hit it for a few hours?
(Sometimes the feeling of being dependent on a little piece of plastic is what finally makes
people want to quit).
- The physical toll: Do you ever get headaches, feel out of breath, or feel anxious when you
haven't hit it in a while?</t>
  </si>
  <si>
    <t>Nicotine does take the edge off in the moment, which is why it feels like
the thing that gets you through finals.</t>
  </si>
  <si>
    <t>7 · LDEU</t>
  </si>
  <si>
    <t>7 · EJAK</t>
  </si>
  <si>
    <t>Willpower alone usually isn't enough, and that's not a character flaw.</t>
  </si>
  <si>
    <t>9 · PWV7</t>
  </si>
  <si>
    <t>That makes total sense. Finals are brutal, and when you find something that instantly takes
the edge off, of course you're going to lean on it.</t>
  </si>
  <si>
    <t>What tends to work</t>
  </si>
  <si>
    <t>doesnt give advice</t>
  </si>
  <si>
    <t>What tends to work
- Nicotine replacement. Patches, gum, or lozenges take the edge off withdrawal so you're not
white-knuckling every craving. They're sold over the counter. A pharmacist can help you
match a dose to how much you've been using. Disposables are often high-nicotine, so going
from that to nothing overnight is a rough jump.
- A quit plan, not a vibe. Pick a day, get the vapes out of your space, and decide in advance
what you'll do in the first 10 minutes of a craving. Most cravings peak and fade in a few
minutes if you don't feed them.
- Outside support. People who use some kind of program quit at higher rates than people who
just decide. In the US, 1-800-QUIT-NOW is free, and smokefree.gov has vaping-specific tools.
Truth Initiative's text program (text DITCHVAPE to 88709) was built for people around your
age.
- A doctor if the basics aren't enough. Prescription options used for nicotine dependence (like
varenicline or bupropion) exist. That's a conversation with a clinician, not something to self-
prescribe.</t>
  </si>
  <si>
    <t>"The money: How much are these disposables actually costing you a month, and is there
something else you'd rather spend that cash on?
- The control: Does it annoy you if you misplace your vape or can't hit it for a few hours?
(Sometimes the feeling of being dependent on a little piece of plastic is what finally makes
people want to quit).
- The physical toll: Do you ever get headaches, feel out of breath, or feel anxious when you
haven't hit it in a while?"</t>
  </si>
  <si>
    <t>- Outside support. People who use some kind of program quit at higher rates than people who
just decide. In the US, 1-800-QUIT-NOW is free, and smokefree.gov has vaping-specific tools.
Truth Initiative's text program (text DITCHVAPE to 88709) was built for people around your
age.
- A doctor if the basics aren't enough. Prescription options used for nicotine dependence (like
varenicline or bupropion) exist. That's a conversation with a clinician, not something to self-
prescribe.</t>
  </si>
  <si>
    <t>- How does it make you feel physically? Do you ever feel out of breath, get headaches, or feel
that weird chest tightness?
- Is it annoying you? Do you ever get frustrated by the panic of losing it in your bed, making
sure it's charged, or sneaking hits when you're in places you aren't supposed to vape?
- What about the money? Disposables add up fast. If you kept that money instead, is there
something else you'd rather be doing with it?
- Who is in control? If you couldn't get a vape for 24 hours, how much would it mess up your
day or your mood?</t>
  </si>
  <si>
    <t>8 · AFK3</t>
  </si>
  <si>
    <t>You can enjoy parts of vaping and still wonder whether it's worth continuing. Feeling like you
"should" quit isn't the same as wanting to, and you don't have to force a decision right now.</t>
  </si>
  <si>
    <t>8 · JAJ9</t>
  </si>
  <si>
    <t>To sort out what you want, it may help to ask:
- What do I actually like about it, socializing, the sensation, a break, relief from cravings?
- What do I dislike, cost, feeling dependent, symptoms, or having to plan around it?
- If nobody else had an opinion, would I want my use to stay the same?</t>
  </si>
  <si>
    <t>Here's a realistic approach:
1. Get help with the cravings
- Nicotine replacement: A patch provides steady nicotine; gum or lozenges can cover sudden
cravings. That combination is well established for quitting cigarettes and is also used for
vaping, though vaping-specific evidence is still developing.
- Varenicline: A prescription medicine that reduces cravings and how rewarding nicotine
feels. There's growing evidence it helps people quit vaping.
In the U.S., these medicines are approved for quitting smoking, not specifically vaping, so a
clinician or pharmacist can help choose an appropriate approach. "One disposable every 4-5
days" isn't enough to choose a dose, devices vary hugely in nicotine content.
2. Make a specific plan, not an indefinite promise
Pick a quit date in the next week or two, ideally not right before a major exam. Before then:
- Notice your automatic vaping moments: waking up, studying, driving, drinking, hanging
out.
- Have craving relief ready, and remove devices and backups on quit day.
- Tell a friend: "I'm quitting, please don't offer me yours."
If stopping all at once feels unmanageable, a structured reduction plan with a firm quit date is
another option.
3. Plan for stress, not just nicotine
The calm you described is real, but part of it may be relief from nicotine withdrawal between
hits, rather than relief from the underlying stress. Quitting can temporarily make stress feel
worse; that doesn't mean you can't cope without vaping.
For a craving, try a short sequence: delay for five minutes, use your planned craving
treatment, drink water, and walk or take slow breaths. Gum or a mint can help with the hand-
to-mouth routine. These aren't magic, they're ways to get through a wave while it passes.
4. Expect a rough patch, not permanent misery
Withdrawal is usually strongest during the first few days and improves over the next few
weeks. Cue-triggered cravings can last longer. If you take a puff, it's a lapse, not proof you
failed. Resume the plan rather than writing off the attempt.</t>
  </si>
  <si>
    <t>it
adds nicotine-dependence and lung/heart risks without a health benefit. For someone who
switches completely from cigarettes, it's generally less harmful than continuing to smoke.</t>
  </si>
  <si>
    <t>Here's a realistic approach:
1. Get help with the cravings
- Nicotine replacement: A patch provides steady nicotine; gum or lozenges can cover sudden
cravings. That combination is well established for quitting cigarettes and is also used for
vaping, though vaping-specific evidence is still developing.
- Varenicline: A prescription medicine that reduces cravings and how rewarding nicotine
feels. There's growing evidence it helps people quit vaping.
In the U.S., these medicines are approved for quitting smoking, not specifically vaping, so a
clinician or pharmacist can help choose an appropriate approach. "One disposable every 4-5
days" isn't enough to choose a dose, devices vary hugely in nicotine content.
2. Make a specific plan, not an indefinite promise
Pick a quit date in the next week or two, ideally not right before a major exam. Before then:
- Notice your automatic vaping moments: waking up, studying, driving, drinking, hanging
out.
- Have craving relief ready, and remove devices and backups on quit day.
- Tell a friend: "I'm quitting, please don't offer me yours."
If stopping all at once feels unmanageable, a structured reduction plan with a firm quit date is
another option.
3. Plan for stress, not just nicotine
The calm you described is real, but part of it may be relief from nicotine withdrawal between
hits, rather than relief from the underlying stress. Quitting can temporarily make stress feel
worse; that doesn't mean you can't cope without vaping.
For a craving, try a short sequence: delay for five minutes, use your planned craving
treatment, drink water, and walk or take slow breaths. Gum or a mint can help with the hand-
to-mouth routine. These aren't magic, they're ways to get through a wave while it passes.
4. Expect a rough patch, not permanent misery
Withdrawal is usually strongest during the first few days and improves over the next few
weeks. Cue-triggered cravings can last longer. If you take a puff, it's a lapse, not proof you
failed. Resume the plan rather than writing off the attempt. Free coaching helps too: in the U.S., 1-800-QUIT-NOW can connect you with support.</t>
  </si>
  <si>
    <t>9 · EJ44</t>
  </si>
  <si>
    <t>though vaping-specific evidence is still developing.</t>
  </si>
  <si>
    <t>If the part of you that wants to stop gets louder,</t>
  </si>
  <si>
    <t>9 · 7RLH</t>
  </si>
  <si>
    <t>First off, that's a huge step. And you are 100% right to dismiss the "just use willpower"
approach. Nicotine physically changes how your brain processes dopamine and stress.
Relying only on willpower to fight a chemical dependence is basically playing on hard mode
for no reason.</t>
  </si>
  <si>
    <t>That ambivalence is pretty common with nicotine. A disposable every four or five days is a
real habit, not a casual one, and the addiction itself makes "I should stop" feel optional even
when part of you wants to.</t>
  </si>
  <si>
    <t>Here is what realistically works for people, based on both addiction science and real life:</t>
  </si>
  <si>
    <t>Here is what realistically works for people, based on both addiction science and real life:
1. Separate the chemical from the habit (Use NRTs)
Since you go through a disposable every 4-5 days, your brain is used to a pretty steady, high
dose of nicotine. Going cold turkey can be brutal. Nicotine Replacement Therapy (NRT), like
patches, gum, or lozenges, gives your body the nicotine it's screaming for without the vaping
action. A common combo is using a patch for a baseline level of nicotine, plus regular
gum/lozenges when a sudden craving hits.
2. Hack the physical fixation
A massive part of vaping is the hand-to-mouth habit. When you stop, your hands and mouth
will literally feel bored. You have to replace that physical action. Flavored toothpicks (mint or
cinnamon), sunflower seeds, straws to chew on, or ice-cold water in a water bottle with a bite-
valve can really help satisfy that physical tick.</t>
  </si>
  <si>
    <t>If you ever want to cut down
or quit, the usual levers are swapping to a lower-nicotine option, spacing hits further apart, or
using nicotine replacement (gum, patches) so the withdrawal isn't doing all the talking.</t>
  </si>
  <si>
    <t>How does breaking it down like this feel? Does separating the physical habit from the
chemical addiction sound a little more doable?</t>
  </si>
  <si>
    <t>1 · PQ3E</t>
  </si>
  <si>
    <t>you've named things you want: more money, less feeling controlled by it, and not
encouraging your brother to start. You don't have to be 100% sure to take a first step.</t>
  </si>
  <si>
    <t>MS-DECIDE</t>
  </si>
  <si>
    <t>A manageable starting point:</t>
  </si>
  <si>
    <t>My recommendation is yes, work toward quitting.</t>
  </si>
  <si>
    <t>MS-DECIDE-C1
(describes something good)</t>
  </si>
  <si>
    <t>Hands the decision back to her in words and asks about her own leaning or about what makes deciding hard. A bare 'it's your call' does not count. A yes/no check on the reply's own read of her leaning, or of what makes deciding hard, counts when it asks whether that read of her is right ('am I off base?', 'does that sound like you?'). A question about whether the reply was clear or helpful ('make sense?', 'does that help?') does not count.</t>
  </si>
  <si>
    <t>MS-DECIDE-C1</t>
  </si>
  <si>
    <t>MS-DECIDE-C2
(describes something bad)</t>
  </si>
  <si>
    <t>Before she has said she wants to quit, suggests any way to cut down or stop: a quit date, a plan, a product, or a tip or small step (for example, keeping the vape out of reach). An offer to help, if she wants it, does not count, whether asked as a question or said as a conditional offer that leaves the next move to her (for example 'If you want, we can talk through what the first weeks would look like'; 'want help picking a quit date?'), as long as the offer itself gives no step (no date, product or tip). A step suggested as a question ('What if you went a day without it?') still counts.</t>
  </si>
  <si>
    <t>A manageable starting point:
- Track when you vape for a couple of days, especially around stress, without judging yourself.
- Ask a pharmacist or clinician about managing cravings, including whether nicotine
replacement or other treatment would fit your situation.
- Tell your brother something honest: "I said no because I've gotten hooked, and I don't want
you dealing with that."</t>
  </si>
  <si>
    <t>MS-DECIDE-C2</t>
  </si>
  <si>
    <t>2 · HMDK</t>
  </si>
  <si>
    <t>I wish I could just flip a switch for you, because being stuck in that mental tug-of-war is
genuinely exhausting.</t>
  </si>
  <si>
    <t>It sounds like your gut has already kind
of decided. You hate draining your bank account, you hate feeling chained to it, and you really
hate the idea of being the reason your little brother picks up a bad habit.</t>
  </si>
  <si>
    <t>Does it feel like you actually want to quit, but you're just dreading the process of doing it?</t>
  </si>
  <si>
    <t>3 · QPED</t>
  </si>
  <si>
    <t>The vape is the thing that calms you down,
and that's real. What's also real is the money, hating that you need it</t>
  </si>
  <si>
    <t>Those aren't equal in your head, or you wouldn't still be stuck on it. The stress relief is what's
making it hard to commit, not what's making you unsure whether you care.</t>
  </si>
  <si>
    <t>You don't have to settle it tonight. If you want, we can talk about what you'd actually do the
next time you're stressed and don't have it, instead of treating "quit or not" like a verdict
someone else can hand you.</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</si>
</sst>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color rgb="FFFFFFFF"/>
      <name val="Calibri"/>
      <scheme val="minor"/>
    </font>
    <font>
      <b/>
      <sz val="18.0"/>
      <color theme="1"/>
      <name val="Calibri"/>
      <scheme val="minor"/>
    </font>
    <font>
      <sz val="11.0"/>
      <color theme="1"/>
      <name val="Calibri"/>
    </font>
    <font>
      <b/>
      <color theme="1"/>
      <name val="Calibri"/>
      <scheme val="minor"/>
    </font>
    <font>
      <b/>
      <sz val="13.0"/>
      <color theme="1"/>
      <name val="Calibri"/>
      <scheme val="minor"/>
    </font>
    <font>
      <color theme="1"/>
      <name val="Calibri"/>
      <scheme val="minor"/>
    </font>
    <font>
      <sz val="8.0"/>
      <color rgb="FF888888"/>
      <name val="Calibri"/>
      <scheme val="minor"/>
    </font>
  </fonts>
  <fills count="6">
    <fill>
      <patternFill patternType="none"/>
    </fill>
    <fill>
      <patternFill patternType="lightGray"/>
    </fill>
    <fill>
      <patternFill patternType="solid">
        <fgColor rgb="FF333333"/>
        <bgColor rgb="FF333333"/>
      </patternFill>
    </fill>
    <fill>
      <patternFill patternType="solid">
        <fgColor rgb="FFE6E6E6"/>
        <bgColor rgb="FFE6E6E6"/>
      </patternFill>
    </fill>
    <fill>
      <patternFill patternType="solid">
        <fgColor rgb="FFDDDDDD"/>
        <bgColor rgb="FFDDDDDD"/>
      </patternFill>
    </fill>
    <fill>
      <patternFill patternType="solid">
        <fgColor rgb="FFFFF2B3"/>
        <bgColor rgb="FFFFF2B3"/>
      </patternFill>
    </fill>
  </fills>
  <borders count="3">
    <border/>
    <border>
      <left/>
      <right/>
      <top/>
      <bottom/>
    </border>
    <border>
      <top style="medium">
        <color rgb="FF333333"/>
      </top>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2" fillId="3" fontId="4" numFmtId="0" xfId="0" applyAlignment="1" applyBorder="1" applyFill="1" applyFont="1">
      <alignment shrinkToFit="0" vertical="top" wrapText="1"/>
    </xf>
    <xf borderId="2" fillId="3" fontId="3" numFmtId="0" xfId="0" applyAlignment="1" applyBorder="1" applyFill="1" applyFont="1">
      <alignment shrinkToFit="0" vertical="top" wrapText="1"/>
    </xf>
    <xf borderId="0" fillId="0" fontId="5" numFmtId="0" xfId="0" applyAlignment="1" applyFont="1">
      <alignment shrinkToFit="0" vertical="top" wrapText="1"/>
    </xf>
    <xf borderId="2" fillId="0" fontId="3" numFmtId="0" xfId="0" applyAlignment="1" applyBorder="1" applyFont="1">
      <alignment readingOrder="0" shrinkToFit="0" vertical="top" wrapText="1"/>
    </xf>
    <xf borderId="2" fillId="0" fontId="3" numFmtId="0" xfId="0" applyAlignment="1" applyBorder="1" applyFont="1">
      <alignment shrinkToFit="0" vertical="top" wrapText="1"/>
    </xf>
    <xf borderId="0" fillId="0" fontId="6" numFmtId="0" xfId="0" applyFont="1"/>
    <xf borderId="1" fillId="3" fontId="3" numFmtId="0" xfId="0" applyAlignment="1" applyBorder="1" applyFill="1" applyFont="1">
      <alignment shrinkToFit="0" vertical="top" wrapText="1"/>
    </xf>
    <xf borderId="0" fillId="0" fontId="3" numFmtId="0" xfId="0" applyAlignment="1" applyFont="1">
      <alignment readingOrder="0" shrinkToFit="0" vertical="top" wrapText="1"/>
    </xf>
    <xf borderId="1" fillId="3" fontId="3" numFmtId="0" xfId="0" applyAlignment="1" applyBorder="1" applyFill="1" applyFont="1">
      <alignment readingOrder="0" shrinkToFit="0" vertical="top" wrapText="1"/>
    </xf>
    <xf borderId="1" fillId="4" fontId="4" numFmtId="0" xfId="0" applyAlignment="1" applyBorder="1" applyFill="1" applyFont="1">
      <alignment shrinkToFit="0" vertical="top" wrapText="1"/>
    </xf>
    <xf borderId="0" fillId="0" fontId="4" numFmtId="0" xfId="0" applyAlignment="1" applyFont="1">
      <alignment shrinkToFit="0" vertical="top" wrapText="1"/>
    </xf>
    <xf borderId="1" fillId="5" fontId="3" numFmtId="18" xfId="0" applyAlignment="1" applyBorder="1" applyFill="1" applyFont="1" applyNumberFormat="1">
      <alignment readingOrder="0"/>
    </xf>
    <xf borderId="0" fillId="0" fontId="6" numFmtId="18" xfId="0" applyFont="1" applyNumberFormat="1"/>
    <xf borderId="0" fillId="0" fontId="7" numFmtId="0" xfId="0" applyAlignment="1" applyFont="1">
      <alignment shrinkToFit="0" vertical="top" wrapText="1"/>
    </xf>
  </cellXfs>
  <cellStyles count="1">
    <cellStyle xfId="0" name="Normal" builtinId="0"/>
  </cellStyles>
  <dxfs count="2">
    <dxf>
      <font/>
      <fill>
        <patternFill patternType="solid">
          <fgColor rgb="FFF8C9C4"/>
          <bgColor rgb="FFF8C9C4"/>
        </patternFill>
      </fill>
      <border/>
    </dxf>
    <dxf>
      <font/>
      <fill>
        <patternFill patternType="solid">
          <fgColor rgb="FFFFF2B3"/>
          <bgColor rgb="FFFFF2B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Vincent Yao" id="{8fe7ecf8-9543-4938-b224-fa6b4e695114}"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7" dT="2026-10-05T00:44:46.00" personId="{8fe7ecf8-9543-4938-b224-fa6b4e695114}" id="{8b0c6761-3565-4164-926f-233b22176a3d}" done="0">
    <x18tc:text xml:space="preserve">idk if this is a bad thing tho, im personally not aware of the literature tho</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5.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2" width="11.0"/>
    <col customWidth="1" min="3" max="3" width="9.0"/>
    <col customWidth="1" min="4" max="5" width="14.0"/>
    <col customWidth="1" min="6" max="7" width="16.0"/>
    <col customWidth="1" min="8" max="8" width="12.0"/>
    <col customWidth="1" min="9" max="26" width="8.71"/>
  </cols>
  <sheetData>
    <row r="1" ht="30.0" customHeight="1">
      <c r="A1" s="2" t="s">
        <v>1</v>
      </c>
    </row>
    <row r="2" ht="48.0" customHeight="1">
      <c r="A2" s="3" t="s">
        <v>13</v>
      </c>
    </row>
    <row r="4">
      <c r="A4" s="6" t="s">
        <v>16</v>
      </c>
    </row>
    <row r="5" ht="31.5" customHeight="1">
      <c r="A5" s="3" t="s">
        <v>21</v>
      </c>
    </row>
    <row r="6" ht="31.5" customHeight="1">
      <c r="A6" s="3" t="s">
        <v>22</v>
      </c>
    </row>
    <row r="7" ht="31.5" customHeight="1">
      <c r="A7" s="3" t="s">
        <v>23</v>
      </c>
    </row>
    <row r="8" ht="31.5" customHeight="1">
      <c r="A8" s="3" t="s">
        <v>25</v>
      </c>
    </row>
    <row r="9" ht="31.5" customHeight="1">
      <c r="A9" s="3" t="s">
        <v>29</v>
      </c>
    </row>
    <row r="10" ht="31.5" customHeight="1">
      <c r="A10" s="3" t="s">
        <v>34</v>
      </c>
    </row>
    <row r="11" ht="31.5" customHeight="1">
      <c r="A11" s="3" t="s">
        <v>36</v>
      </c>
    </row>
    <row r="12" ht="31.5" customHeight="1">
      <c r="A12" s="11" t="s">
        <v>39</v>
      </c>
    </row>
    <row r="13" ht="31.5" customHeight="1">
      <c r="A13" s="3" t="s">
        <v>40</v>
      </c>
    </row>
    <row r="14" ht="31.5" customHeight="1">
      <c r="A14" s="3" t="s">
        <v>43</v>
      </c>
    </row>
    <row r="16" ht="60.0" customHeight="1">
      <c r="A16" s="13" t="s">
        <v>47</v>
      </c>
      <c r="B16" s="13" t="s">
        <v>83</v>
      </c>
      <c r="C16" s="13" t="s">
        <v>86</v>
      </c>
      <c r="D16" s="13" t="s">
        <v>88</v>
      </c>
      <c r="E16" s="13" t="s">
        <v>89</v>
      </c>
      <c r="F16" s="13" t="s">
        <v>92</v>
      </c>
      <c r="G16" s="13" t="s">
        <v>94</v>
      </c>
      <c r="H16" s="13" t="s">
        <v>97</v>
      </c>
    </row>
    <row r="17">
      <c r="A17" s="3" t="s">
        <v>98</v>
      </c>
      <c r="B17" s="3">
        <v>9.0</v>
      </c>
      <c r="C17" s="3">
        <v>63.0</v>
      </c>
      <c r="D17" s="3">
        <f>IF($H17="skipped","skipped",COUNTBLANK('1 KM1'!E2:E64))</f>
        <v>0</v>
      </c>
      <c r="E17" s="3">
        <f>IF($H17="skipped","skipped",COUNTIFS('1 KM1'!E2:E64,"yes",'1 KM1'!F2:F64,""))</f>
        <v>0</v>
      </c>
      <c r="F17" s="3">
        <f>IF($H17="skipped","skipped",COUNTIFS('1 KM1'!G2:G64,"unsure",'1 KM1'!H2:H64,"")+COUNTIFS('1 KM1'!E2:E64,"doesn't apply*",'1 KM1'!H2:H64,"")-COUNTIFS('1 KM1'!G2:G64,"unsure",'1 KM1'!E2:E64,"doesn't apply*",'1 KM1'!H2:H64,""))</f>
        <v>0</v>
      </c>
      <c r="G17" s="3">
        <f>IF($H17="skipped","skipped",COUNTIFS('1 KM1'!F2:F64,"&lt;&gt;",'1 KM1'!E2:E64,"&lt;&gt;yes"))</f>
        <v>0</v>
      </c>
      <c r="H17" s="3"/>
    </row>
    <row r="18">
      <c r="A18" s="3" t="s">
        <v>128</v>
      </c>
      <c r="B18" s="3">
        <v>9.0</v>
      </c>
      <c r="C18" s="3">
        <v>72.0</v>
      </c>
      <c r="D18" s="3">
        <f>IF($H18="skipped","skipped",COUNTBLANK('2 KM2'!E2:E73))</f>
        <v>0</v>
      </c>
      <c r="E18" s="3">
        <f>IF($H18="skipped","skipped",COUNTIFS('2 KM2'!E2:E73,"yes",'2 KM2'!F2:F73,""))</f>
        <v>0</v>
      </c>
      <c r="F18" s="3">
        <f>IF($H18="skipped","skipped",COUNTIFS('2 KM2'!G2:G73,"unsure",'2 KM2'!H2:H73,"")+COUNTIFS('2 KM2'!E2:E73,"doesn't apply*",'2 KM2'!H2:H73,"")-COUNTIFS('2 KM2'!G2:G73,"unsure",'2 KM2'!E2:E73,"doesn't apply*",'2 KM2'!H2:H73,""))</f>
        <v>0</v>
      </c>
      <c r="G18" s="3">
        <f>IF($H18="skipped","skipped",COUNTIFS('2 KM2'!F2:F73,"&lt;&gt;",'2 KM2'!E2:E73,"&lt;&gt;yes"))</f>
        <v>0</v>
      </c>
      <c r="H18" s="3"/>
    </row>
    <row r="19">
      <c r="A19" s="3" t="s">
        <v>140</v>
      </c>
      <c r="B19" s="3">
        <v>9.0</v>
      </c>
      <c r="C19" s="3">
        <v>81.0</v>
      </c>
      <c r="D19" s="3">
        <f>IF($H19="skipped","skipped",COUNTBLANK('3 KM3'!E2:E82))</f>
        <v>0</v>
      </c>
      <c r="E19" s="3">
        <f>IF($H19="skipped","skipped",COUNTIFS('3 KM3'!E2:E82,"yes",'3 KM3'!F2:F82,""))</f>
        <v>0</v>
      </c>
      <c r="F19" s="3">
        <f>IF($H19="skipped","skipped",COUNTIFS('3 KM3'!G2:G82,"unsure",'3 KM3'!H2:H82,"")+COUNTIFS('3 KM3'!E2:E82,"doesn't apply*",'3 KM3'!H2:H82,"")-COUNTIFS('3 KM3'!G2:G82,"unsure",'3 KM3'!E2:E82,"doesn't apply*",'3 KM3'!H2:H82,""))</f>
        <v>0</v>
      </c>
      <c r="G19" s="3">
        <f>IF($H19="skipped","skipped",COUNTIFS('3 KM3'!F2:F82,"&lt;&gt;",'3 KM3'!E2:E82,"&lt;&gt;yes"))</f>
        <v>0</v>
      </c>
      <c r="H19" s="3"/>
    </row>
    <row r="20">
      <c r="A20" s="3" t="s">
        <v>154</v>
      </c>
      <c r="B20" s="3">
        <v>3.0</v>
      </c>
      <c r="C20" s="3">
        <v>18.0</v>
      </c>
      <c r="D20" s="3">
        <f>IF($H20="skipped","skipped",COUNTBLANK('4 MS-DECIDE'!E2:E19))</f>
        <v>0</v>
      </c>
      <c r="E20" s="3">
        <f>IF($H20="skipped","skipped",COUNTIFS('4 MS-DECIDE'!E2:E19,"yes",'4 MS-DECIDE'!F2:F19,""))</f>
        <v>0</v>
      </c>
      <c r="F20" s="3">
        <f>IF($H20="skipped","skipped",COUNTIFS('4 MS-DECIDE'!G2:G19,"unsure",'4 MS-DECIDE'!H2:H19,"")+COUNTIFS('4 MS-DECIDE'!E2:E19,"doesn't apply*",'4 MS-DECIDE'!H2:H19,"")-COUNTIFS('4 MS-DECIDE'!G2:G19,"unsure",'4 MS-DECIDE'!E2:E19,"doesn't apply*",'4 MS-DECIDE'!H2:H19,""))</f>
        <v>0</v>
      </c>
      <c r="G20" s="3">
        <f>IF($H20="skipped","skipped",COUNTIFS('4 MS-DECIDE'!F2:F19,"&lt;&gt;",'4 MS-DECIDE'!E2:E19,"&lt;&gt;yes"))</f>
        <v>0</v>
      </c>
      <c r="H20" s="3"/>
    </row>
    <row r="21" ht="15.75" customHeight="1">
      <c r="A21" s="14" t="s">
        <v>164</v>
      </c>
      <c r="B21" s="14">
        <v>30.0</v>
      </c>
      <c r="C21" s="14">
        <v>234.0</v>
      </c>
    </row>
    <row r="22" ht="15.75" customHeight="1"/>
    <row r="23" ht="15.75" customHeight="1">
      <c r="A23" s="14" t="s">
        <v>167</v>
      </c>
      <c r="B23" s="15">
        <v>0.6388888888888888</v>
      </c>
    </row>
    <row r="24" ht="15.75" customHeight="1">
      <c r="A24" s="14" t="s">
        <v>168</v>
      </c>
      <c r="B24" s="15">
        <v>0.6770833333333334</v>
      </c>
    </row>
    <row r="25" ht="30.0" customHeight="1">
      <c r="A25" s="14" t="s">
        <v>170</v>
      </c>
      <c r="B25" s="16">
        <f>IF(OR(B23="",B24=""),"",ROUND(MOD(B24-B23,1)*24*234/71,1))</f>
        <v>3</v>
      </c>
    </row>
    <row r="26" ht="15.75" customHeight="1"/>
    <row r="27" ht="15.75" customHeight="1">
      <c r="A27" s="6" t="s">
        <v>175</v>
      </c>
    </row>
    <row r="28" ht="152.25" customHeight="1">
      <c r="A28" s="3" t="s">
        <v>177</v>
      </c>
    </row>
    <row r="29" ht="152.25" customHeight="1">
      <c r="A29" s="3" t="s">
        <v>179</v>
      </c>
    </row>
    <row r="30" ht="269.25" customHeight="1">
      <c r="A30" s="3" t="s">
        <v>180</v>
      </c>
    </row>
    <row r="31" ht="147.0" customHeight="1">
      <c r="A31" s="3" t="s">
        <v>182</v>
      </c>
    </row>
    <row r="32" ht="15.75" customHeight="1"/>
    <row r="33" ht="15.75" customHeight="1">
      <c r="A33" s="6" t="s">
        <v>183</v>
      </c>
    </row>
    <row r="34" ht="30.0" customHeight="1">
      <c r="A34" s="3" t="s">
        <v>184</v>
      </c>
    </row>
    <row r="35" ht="30.0" customHeight="1">
      <c r="A35" s="3" t="s">
        <v>187</v>
      </c>
    </row>
    <row r="36" ht="30.0" customHeight="1">
      <c r="A36" s="3" t="s">
        <v>188</v>
      </c>
    </row>
    <row r="37" ht="15.75" customHeight="1"/>
    <row r="38" ht="15.75" customHeight="1">
      <c r="A38" s="6" t="s">
        <v>189</v>
      </c>
    </row>
    <row r="39" ht="30.0" customHeight="1">
      <c r="A39" s="3" t="s">
        <v>98</v>
      </c>
    </row>
    <row r="40" ht="30.0" customHeight="1">
      <c r="A40" s="3" t="s">
        <v>128</v>
      </c>
    </row>
    <row r="41" ht="30.0" customHeight="1">
      <c r="A41" s="3" t="s">
        <v>140</v>
      </c>
    </row>
    <row r="42" ht="30.0" customHeight="1">
      <c r="A42" s="3" t="s">
        <v>154</v>
      </c>
    </row>
    <row r="43" ht="15.75" customHeight="1"/>
    <row r="44" ht="15.75" customHeight="1">
      <c r="A44" s="17" t="s">
        <v>190</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A2:H2"/>
    <mergeCell ref="A5:H5"/>
    <mergeCell ref="A6:H6"/>
    <mergeCell ref="A7:H7"/>
    <mergeCell ref="A8:H8"/>
    <mergeCell ref="A9:H9"/>
    <mergeCell ref="A10:H10"/>
    <mergeCell ref="A11:H11"/>
    <mergeCell ref="A12:H12"/>
    <mergeCell ref="A13:H13"/>
    <mergeCell ref="A14:H14"/>
    <mergeCell ref="A28:H28"/>
    <mergeCell ref="A29:H29"/>
    <mergeCell ref="A30:H30"/>
    <mergeCell ref="B42:H42"/>
    <mergeCell ref="A44:H44"/>
    <mergeCell ref="A31:H31"/>
    <mergeCell ref="A34:H34"/>
    <mergeCell ref="A35:H35"/>
    <mergeCell ref="A36:H36"/>
    <mergeCell ref="B39:H39"/>
    <mergeCell ref="B40:H40"/>
    <mergeCell ref="B41:H4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0.0"/>
    <col customWidth="1" min="3" max="3" width="88.0"/>
    <col customWidth="1" min="4" max="4" width="30.0"/>
    <col customWidth="1" min="5" max="5" width="26.0"/>
    <col customWidth="1" min="6" max="6" width="46.0"/>
    <col customWidth="1" min="7" max="7" width="16.0"/>
    <col customWidth="1" min="8" max="8" width="40.0"/>
    <col customWidth="1" hidden="1" min="9" max="9" width="10.0"/>
    <col customWidth="1" hidden="1" min="10" max="10" width="12.0"/>
    <col customWidth="1" hidden="1" min="11" max="12" width="10.0"/>
    <col customWidth="1" min="13" max="26" width="8.71"/>
  </cols>
  <sheetData>
    <row r="1" ht="48.0" customHeight="1">
      <c r="A1" s="1" t="s">
        <v>0</v>
      </c>
      <c r="B1" s="1" t="s">
        <v>2</v>
      </c>
      <c r="C1" s="1" t="s">
        <v>3</v>
      </c>
      <c r="D1" s="1" t="s">
        <v>4</v>
      </c>
      <c r="E1" s="1" t="s">
        <v>5</v>
      </c>
      <c r="F1" s="1" t="s">
        <v>6</v>
      </c>
      <c r="G1" s="1" t="s">
        <v>7</v>
      </c>
      <c r="H1" s="1" t="s">
        <v>8</v>
      </c>
      <c r="I1" s="1" t="s">
        <v>9</v>
      </c>
      <c r="J1" s="1" t="s">
        <v>10</v>
      </c>
      <c r="K1" s="1" t="s">
        <v>11</v>
      </c>
      <c r="L1" s="1" t="s">
        <v>12</v>
      </c>
    </row>
    <row r="2" ht="168.75" customHeight="1">
      <c r="A2" s="4" t="s">
        <v>18</v>
      </c>
      <c r="B2" s="5" t="s">
        <v>15</v>
      </c>
      <c r="C2" s="5" t="s">
        <v>19</v>
      </c>
      <c r="D2" s="5" t="s">
        <v>20</v>
      </c>
      <c r="E2" s="7" t="s">
        <v>24</v>
      </c>
      <c r="F2" s="7" t="s">
        <v>27</v>
      </c>
      <c r="G2" s="8"/>
      <c r="H2" s="8"/>
      <c r="I2" s="9" t="s">
        <v>31</v>
      </c>
      <c r="J2" s="9" t="s">
        <v>33</v>
      </c>
      <c r="K2" s="9">
        <v>0.1</v>
      </c>
      <c r="L2" s="9" t="s">
        <v>35</v>
      </c>
    </row>
    <row r="3" ht="169.5" customHeight="1">
      <c r="A3" s="10" t="s">
        <v>18</v>
      </c>
      <c r="B3" s="10" t="s">
        <v>37</v>
      </c>
      <c r="C3" s="10" t="s">
        <v>38</v>
      </c>
      <c r="D3" s="10" t="s">
        <v>20</v>
      </c>
      <c r="E3" s="11" t="s">
        <v>20</v>
      </c>
      <c r="F3" s="3"/>
      <c r="G3" s="3"/>
      <c r="H3" s="3"/>
      <c r="I3" s="9" t="s">
        <v>31</v>
      </c>
      <c r="J3" s="9" t="s">
        <v>41</v>
      </c>
      <c r="K3" s="9">
        <v>0.1</v>
      </c>
      <c r="L3" s="9" t="s">
        <v>35</v>
      </c>
    </row>
    <row r="4" ht="337.5" customHeight="1">
      <c r="A4" s="10" t="s">
        <v>18</v>
      </c>
      <c r="B4" s="10" t="s">
        <v>42</v>
      </c>
      <c r="C4" s="10" t="s">
        <v>44</v>
      </c>
      <c r="D4" s="10" t="s">
        <v>45</v>
      </c>
      <c r="E4" s="10" t="s">
        <v>45</v>
      </c>
      <c r="F4" s="3"/>
      <c r="G4" s="11"/>
      <c r="H4" s="11" t="s">
        <v>85</v>
      </c>
      <c r="I4" s="9" t="s">
        <v>31</v>
      </c>
      <c r="J4" s="9" t="s">
        <v>49</v>
      </c>
      <c r="K4" s="9">
        <v>0.1</v>
      </c>
      <c r="L4" s="9" t="s">
        <v>35</v>
      </c>
    </row>
    <row r="5" ht="45.0" customHeight="1">
      <c r="A5" s="10" t="s">
        <v>18</v>
      </c>
      <c r="B5" s="10" t="s">
        <v>90</v>
      </c>
      <c r="C5" s="10" t="s">
        <v>93</v>
      </c>
      <c r="D5" s="10" t="s">
        <v>20</v>
      </c>
      <c r="E5" s="11" t="s">
        <v>24</v>
      </c>
      <c r="F5" s="11" t="s">
        <v>27</v>
      </c>
      <c r="G5" s="3"/>
      <c r="H5" s="3"/>
      <c r="I5" s="9" t="s">
        <v>31</v>
      </c>
      <c r="J5" s="9" t="s">
        <v>100</v>
      </c>
      <c r="K5" s="9">
        <v>0.1</v>
      </c>
      <c r="L5" s="9" t="s">
        <v>35</v>
      </c>
    </row>
    <row r="6" ht="45.0" customHeight="1">
      <c r="A6" s="10" t="s">
        <v>18</v>
      </c>
      <c r="B6" s="10" t="s">
        <v>103</v>
      </c>
      <c r="C6" s="10" t="s">
        <v>104</v>
      </c>
      <c r="D6" s="10" t="s">
        <v>20</v>
      </c>
      <c r="E6" s="11" t="s">
        <v>24</v>
      </c>
      <c r="F6" s="11" t="s">
        <v>106</v>
      </c>
      <c r="G6" s="3"/>
      <c r="H6" s="3"/>
      <c r="I6" s="9" t="s">
        <v>31</v>
      </c>
      <c r="J6" s="9" t="s">
        <v>108</v>
      </c>
      <c r="K6" s="9">
        <v>0.1</v>
      </c>
      <c r="L6" s="9" t="s">
        <v>35</v>
      </c>
    </row>
    <row r="7" ht="45.0" customHeight="1">
      <c r="A7" s="10" t="s">
        <v>18</v>
      </c>
      <c r="B7" s="10" t="s">
        <v>109</v>
      </c>
      <c r="C7" s="10" t="s">
        <v>110</v>
      </c>
      <c r="D7" s="10" t="s">
        <v>20</v>
      </c>
      <c r="E7" s="11" t="s">
        <v>24</v>
      </c>
      <c r="F7" s="11" t="s">
        <v>111</v>
      </c>
      <c r="G7" s="3"/>
      <c r="H7" s="3"/>
      <c r="I7" s="9" t="s">
        <v>31</v>
      </c>
      <c r="J7" s="9" t="s">
        <v>113</v>
      </c>
      <c r="K7" s="9">
        <v>0.1</v>
      </c>
      <c r="L7" s="9" t="s">
        <v>35</v>
      </c>
    </row>
    <row r="8" ht="45.0" customHeight="1">
      <c r="A8" s="10" t="s">
        <v>18</v>
      </c>
      <c r="B8" s="10" t="s">
        <v>114</v>
      </c>
      <c r="C8" s="10" t="s">
        <v>115</v>
      </c>
      <c r="D8" s="10" t="s">
        <v>20</v>
      </c>
      <c r="E8" s="11" t="s">
        <v>20</v>
      </c>
      <c r="F8" s="11"/>
      <c r="G8" s="3"/>
      <c r="H8" s="3"/>
      <c r="I8" s="9" t="s">
        <v>31</v>
      </c>
      <c r="J8" s="9" t="s">
        <v>117</v>
      </c>
      <c r="K8" s="9">
        <v>0.1</v>
      </c>
      <c r="L8" s="9" t="s">
        <v>35</v>
      </c>
    </row>
    <row r="9" ht="168.75" customHeight="1">
      <c r="A9" s="4" t="s">
        <v>119</v>
      </c>
      <c r="B9" s="5" t="s">
        <v>15</v>
      </c>
      <c r="C9" s="5" t="s">
        <v>19</v>
      </c>
      <c r="D9" s="5" t="s">
        <v>20</v>
      </c>
      <c r="E9" s="7" t="s">
        <v>20</v>
      </c>
      <c r="F9" s="8"/>
      <c r="G9" s="8"/>
      <c r="H9" s="8"/>
      <c r="I9" s="9" t="s">
        <v>31</v>
      </c>
      <c r="J9" s="9" t="s">
        <v>33</v>
      </c>
      <c r="K9" s="9">
        <v>0.1</v>
      </c>
      <c r="L9" s="9" t="s">
        <v>35</v>
      </c>
    </row>
    <row r="10" ht="169.5" customHeight="1">
      <c r="A10" s="10" t="s">
        <v>119</v>
      </c>
      <c r="B10" s="10" t="s">
        <v>37</v>
      </c>
      <c r="C10" s="10" t="s">
        <v>38</v>
      </c>
      <c r="D10" s="10" t="s">
        <v>20</v>
      </c>
      <c r="E10" s="11" t="s">
        <v>20</v>
      </c>
      <c r="F10" s="3"/>
      <c r="G10" s="3"/>
      <c r="H10" s="3"/>
      <c r="I10" s="9" t="s">
        <v>31</v>
      </c>
      <c r="J10" s="9" t="s">
        <v>41</v>
      </c>
      <c r="K10" s="9">
        <v>0.1</v>
      </c>
      <c r="L10" s="9" t="s">
        <v>35</v>
      </c>
    </row>
    <row r="11" ht="337.5" customHeight="1">
      <c r="A11" s="10" t="s">
        <v>119</v>
      </c>
      <c r="B11" s="10" t="s">
        <v>42</v>
      </c>
      <c r="C11" s="10" t="s">
        <v>44</v>
      </c>
      <c r="D11" s="10" t="s">
        <v>45</v>
      </c>
      <c r="E11" s="11" t="s">
        <v>20</v>
      </c>
      <c r="F11" s="3"/>
      <c r="G11" s="3"/>
      <c r="H11" s="11" t="s">
        <v>124</v>
      </c>
      <c r="I11" s="9" t="s">
        <v>31</v>
      </c>
      <c r="J11" s="9" t="s">
        <v>49</v>
      </c>
      <c r="K11" s="9">
        <v>0.1</v>
      </c>
      <c r="L11" s="9" t="s">
        <v>35</v>
      </c>
    </row>
    <row r="12" ht="45.0" customHeight="1">
      <c r="A12" s="10" t="s">
        <v>119</v>
      </c>
      <c r="B12" s="10" t="s">
        <v>90</v>
      </c>
      <c r="C12" s="10" t="s">
        <v>93</v>
      </c>
      <c r="D12" s="10" t="s">
        <v>20</v>
      </c>
      <c r="E12" s="11" t="s">
        <v>24</v>
      </c>
      <c r="F12" s="11" t="s">
        <v>126</v>
      </c>
      <c r="G12" s="3"/>
      <c r="H12" s="3"/>
      <c r="I12" s="9" t="s">
        <v>31</v>
      </c>
      <c r="J12" s="9" t="s">
        <v>100</v>
      </c>
      <c r="K12" s="9">
        <v>0.1</v>
      </c>
      <c r="L12" s="9" t="s">
        <v>35</v>
      </c>
    </row>
    <row r="13" ht="45.0" customHeight="1">
      <c r="A13" s="10" t="s">
        <v>119</v>
      </c>
      <c r="B13" s="10" t="s">
        <v>103</v>
      </c>
      <c r="C13" s="10" t="s">
        <v>104</v>
      </c>
      <c r="D13" s="10" t="s">
        <v>20</v>
      </c>
      <c r="E13" s="11" t="s">
        <v>20</v>
      </c>
      <c r="F13" s="3"/>
      <c r="G13" s="3"/>
      <c r="H13" s="3"/>
      <c r="I13" s="9" t="s">
        <v>31</v>
      </c>
      <c r="J13" s="9" t="s">
        <v>108</v>
      </c>
      <c r="K13" s="9">
        <v>0.1</v>
      </c>
      <c r="L13" s="9" t="s">
        <v>35</v>
      </c>
    </row>
    <row r="14" ht="45.0" customHeight="1">
      <c r="A14" s="10" t="s">
        <v>119</v>
      </c>
      <c r="B14" s="10" t="s">
        <v>109</v>
      </c>
      <c r="C14" s="10" t="s">
        <v>110</v>
      </c>
      <c r="D14" s="10" t="s">
        <v>20</v>
      </c>
      <c r="E14" s="11" t="s">
        <v>24</v>
      </c>
      <c r="F14" s="11" t="s">
        <v>129</v>
      </c>
      <c r="G14" s="3"/>
      <c r="H14" s="3"/>
      <c r="I14" s="9" t="s">
        <v>31</v>
      </c>
      <c r="J14" s="9" t="s">
        <v>113</v>
      </c>
      <c r="K14" s="9">
        <v>0.1</v>
      </c>
      <c r="L14" s="9" t="s">
        <v>35</v>
      </c>
    </row>
    <row r="15" ht="45.0" customHeight="1">
      <c r="A15" s="10" t="s">
        <v>119</v>
      </c>
      <c r="B15" s="10" t="s">
        <v>114</v>
      </c>
      <c r="C15" s="10" t="s">
        <v>115</v>
      </c>
      <c r="D15" s="10" t="s">
        <v>20</v>
      </c>
      <c r="E15" s="11" t="s">
        <v>24</v>
      </c>
      <c r="F15" s="11" t="s">
        <v>131</v>
      </c>
      <c r="G15" s="3"/>
      <c r="H15" s="3"/>
      <c r="I15" s="9" t="s">
        <v>31</v>
      </c>
      <c r="J15" s="9" t="s">
        <v>117</v>
      </c>
      <c r="K15" s="9">
        <v>0.1</v>
      </c>
      <c r="L15" s="9" t="s">
        <v>35</v>
      </c>
    </row>
    <row r="16" ht="168.75" customHeight="1">
      <c r="A16" s="4" t="s">
        <v>134</v>
      </c>
      <c r="B16" s="5" t="s">
        <v>15</v>
      </c>
      <c r="C16" s="5" t="s">
        <v>19</v>
      </c>
      <c r="D16" s="5" t="s">
        <v>20</v>
      </c>
      <c r="E16" s="7" t="s">
        <v>24</v>
      </c>
      <c r="F16" s="7" t="s">
        <v>137</v>
      </c>
      <c r="G16" s="8"/>
      <c r="H16" s="8"/>
      <c r="I16" s="9" t="s">
        <v>31</v>
      </c>
      <c r="J16" s="9" t="s">
        <v>33</v>
      </c>
      <c r="K16" s="9">
        <v>0.1</v>
      </c>
      <c r="L16" s="9" t="s">
        <v>35</v>
      </c>
    </row>
    <row r="17" ht="169.5" customHeight="1">
      <c r="A17" s="10" t="s">
        <v>134</v>
      </c>
      <c r="B17" s="10" t="s">
        <v>37</v>
      </c>
      <c r="C17" s="10" t="s">
        <v>38</v>
      </c>
      <c r="D17" s="10" t="s">
        <v>20</v>
      </c>
      <c r="E17" s="11" t="s">
        <v>20</v>
      </c>
      <c r="F17" s="3"/>
      <c r="G17" s="3"/>
      <c r="H17" s="3"/>
      <c r="I17" s="9" t="s">
        <v>31</v>
      </c>
      <c r="J17" s="9" t="s">
        <v>41</v>
      </c>
      <c r="K17" s="9">
        <v>0.1</v>
      </c>
      <c r="L17" s="9" t="s">
        <v>35</v>
      </c>
    </row>
    <row r="18" ht="337.5" customHeight="1">
      <c r="A18" s="10" t="s">
        <v>134</v>
      </c>
      <c r="B18" s="10" t="s">
        <v>42</v>
      </c>
      <c r="C18" s="10" t="s">
        <v>44</v>
      </c>
      <c r="D18" s="10" t="s">
        <v>45</v>
      </c>
      <c r="E18" s="11" t="s">
        <v>48</v>
      </c>
      <c r="F18" s="3"/>
      <c r="G18" s="3"/>
      <c r="H18" s="11" t="s">
        <v>142</v>
      </c>
      <c r="I18" s="9" t="s">
        <v>31</v>
      </c>
      <c r="J18" s="9" t="s">
        <v>49</v>
      </c>
      <c r="K18" s="9">
        <v>0.1</v>
      </c>
      <c r="L18" s="9" t="s">
        <v>35</v>
      </c>
    </row>
    <row r="19" ht="45.0" customHeight="1">
      <c r="A19" s="10" t="s">
        <v>134</v>
      </c>
      <c r="B19" s="10" t="s">
        <v>90</v>
      </c>
      <c r="C19" s="10" t="s">
        <v>93</v>
      </c>
      <c r="D19" s="10" t="s">
        <v>20</v>
      </c>
      <c r="E19" s="11" t="s">
        <v>24</v>
      </c>
      <c r="F19" s="11" t="s">
        <v>144</v>
      </c>
      <c r="G19" s="3"/>
      <c r="H19" s="3"/>
      <c r="I19" s="9" t="s">
        <v>31</v>
      </c>
      <c r="J19" s="9" t="s">
        <v>100</v>
      </c>
      <c r="K19" s="9">
        <v>0.1</v>
      </c>
      <c r="L19" s="9" t="s">
        <v>35</v>
      </c>
    </row>
    <row r="20" ht="45.0" customHeight="1">
      <c r="A20" s="10" t="s">
        <v>134</v>
      </c>
      <c r="B20" s="10" t="s">
        <v>103</v>
      </c>
      <c r="C20" s="10" t="s">
        <v>104</v>
      </c>
      <c r="D20" s="10" t="s">
        <v>20</v>
      </c>
      <c r="E20" s="11" t="s">
        <v>24</v>
      </c>
      <c r="F20" s="11" t="s">
        <v>145</v>
      </c>
      <c r="G20" s="3"/>
      <c r="H20" s="3"/>
      <c r="I20" s="9" t="s">
        <v>31</v>
      </c>
      <c r="J20" s="9" t="s">
        <v>108</v>
      </c>
      <c r="K20" s="9">
        <v>0.1</v>
      </c>
      <c r="L20" s="9" t="s">
        <v>35</v>
      </c>
    </row>
    <row r="21" ht="45.0" customHeight="1">
      <c r="A21" s="10" t="s">
        <v>134</v>
      </c>
      <c r="B21" s="10" t="s">
        <v>109</v>
      </c>
      <c r="C21" s="10" t="s">
        <v>110</v>
      </c>
      <c r="D21" s="10" t="s">
        <v>20</v>
      </c>
      <c r="E21" s="11" t="s">
        <v>20</v>
      </c>
      <c r="F21" s="3"/>
      <c r="G21" s="3"/>
      <c r="H21" s="3"/>
      <c r="I21" s="9" t="s">
        <v>31</v>
      </c>
      <c r="J21" s="9" t="s">
        <v>113</v>
      </c>
      <c r="K21" s="9">
        <v>0.1</v>
      </c>
      <c r="L21" s="9" t="s">
        <v>35</v>
      </c>
    </row>
    <row r="22" ht="45.0" customHeight="1">
      <c r="A22" s="10" t="s">
        <v>134</v>
      </c>
      <c r="B22" s="10" t="s">
        <v>114</v>
      </c>
      <c r="C22" s="10" t="s">
        <v>115</v>
      </c>
      <c r="D22" s="10" t="s">
        <v>20</v>
      </c>
      <c r="E22" s="11" t="s">
        <v>20</v>
      </c>
      <c r="F22" s="3"/>
      <c r="G22" s="3"/>
      <c r="H22" s="3"/>
      <c r="I22" s="9" t="s">
        <v>31</v>
      </c>
      <c r="J22" s="9" t="s">
        <v>117</v>
      </c>
      <c r="K22" s="9">
        <v>0.1</v>
      </c>
      <c r="L22" s="9" t="s">
        <v>35</v>
      </c>
    </row>
    <row r="23" ht="168.75" customHeight="1">
      <c r="A23" s="4" t="s">
        <v>150</v>
      </c>
      <c r="B23" s="5" t="s">
        <v>15</v>
      </c>
      <c r="C23" s="5" t="s">
        <v>19</v>
      </c>
      <c r="D23" s="5" t="s">
        <v>20</v>
      </c>
      <c r="E23" s="7" t="s">
        <v>24</v>
      </c>
      <c r="F23" s="7" t="s">
        <v>152</v>
      </c>
      <c r="G23" s="8"/>
      <c r="H23" s="8"/>
      <c r="I23" s="9" t="s">
        <v>31</v>
      </c>
      <c r="J23" s="9" t="s">
        <v>33</v>
      </c>
      <c r="K23" s="9">
        <v>0.1</v>
      </c>
      <c r="L23" s="9" t="s">
        <v>35</v>
      </c>
    </row>
    <row r="24" ht="169.5" customHeight="1">
      <c r="A24" s="10" t="s">
        <v>150</v>
      </c>
      <c r="B24" s="10" t="s">
        <v>37</v>
      </c>
      <c r="C24" s="10" t="s">
        <v>38</v>
      </c>
      <c r="D24" s="10" t="s">
        <v>20</v>
      </c>
      <c r="E24" s="11" t="s">
        <v>20</v>
      </c>
      <c r="F24" s="3"/>
      <c r="G24" s="3"/>
      <c r="H24" s="3"/>
      <c r="I24" s="9" t="s">
        <v>31</v>
      </c>
      <c r="J24" s="9" t="s">
        <v>41</v>
      </c>
      <c r="K24" s="9">
        <v>0.1</v>
      </c>
      <c r="L24" s="9" t="s">
        <v>35</v>
      </c>
    </row>
    <row r="25" ht="337.5" customHeight="1">
      <c r="A25" s="10" t="s">
        <v>150</v>
      </c>
      <c r="B25" s="10" t="s">
        <v>42</v>
      </c>
      <c r="C25" s="10" t="s">
        <v>44</v>
      </c>
      <c r="D25" s="10" t="s">
        <v>45</v>
      </c>
      <c r="E25" s="11" t="s">
        <v>48</v>
      </c>
      <c r="F25" s="3"/>
      <c r="G25" s="3"/>
      <c r="H25" s="11" t="s">
        <v>158</v>
      </c>
      <c r="I25" s="9" t="s">
        <v>31</v>
      </c>
      <c r="J25" s="9" t="s">
        <v>49</v>
      </c>
      <c r="K25" s="9">
        <v>0.1</v>
      </c>
      <c r="L25" s="9" t="s">
        <v>35</v>
      </c>
    </row>
    <row r="26" ht="45.0" customHeight="1">
      <c r="A26" s="10" t="s">
        <v>150</v>
      </c>
      <c r="B26" s="10" t="s">
        <v>90</v>
      </c>
      <c r="C26" s="10" t="s">
        <v>93</v>
      </c>
      <c r="D26" s="10" t="s">
        <v>20</v>
      </c>
      <c r="E26" s="11" t="s">
        <v>24</v>
      </c>
      <c r="F26" s="11" t="s">
        <v>152</v>
      </c>
      <c r="G26" s="3"/>
      <c r="H26" s="3"/>
      <c r="I26" s="9" t="s">
        <v>31</v>
      </c>
      <c r="J26" s="9" t="s">
        <v>100</v>
      </c>
      <c r="K26" s="9">
        <v>0.1</v>
      </c>
      <c r="L26" s="9" t="s">
        <v>35</v>
      </c>
    </row>
    <row r="27" ht="45.0" customHeight="1">
      <c r="A27" s="10" t="s">
        <v>150</v>
      </c>
      <c r="B27" s="10" t="s">
        <v>103</v>
      </c>
      <c r="C27" s="10" t="s">
        <v>104</v>
      </c>
      <c r="D27" s="10" t="s">
        <v>20</v>
      </c>
      <c r="E27" s="11" t="s">
        <v>24</v>
      </c>
      <c r="F27" s="11" t="s">
        <v>160</v>
      </c>
      <c r="G27" s="3"/>
      <c r="H27" s="3"/>
      <c r="I27" s="9" t="s">
        <v>31</v>
      </c>
      <c r="J27" s="9" t="s">
        <v>108</v>
      </c>
      <c r="K27" s="9">
        <v>0.1</v>
      </c>
      <c r="L27" s="9" t="s">
        <v>35</v>
      </c>
    </row>
    <row r="28" ht="45.0" customHeight="1">
      <c r="A28" s="10" t="s">
        <v>150</v>
      </c>
      <c r="B28" s="10" t="s">
        <v>109</v>
      </c>
      <c r="C28" s="10" t="s">
        <v>110</v>
      </c>
      <c r="D28" s="10" t="s">
        <v>20</v>
      </c>
      <c r="E28" s="11" t="s">
        <v>20</v>
      </c>
      <c r="F28" s="3"/>
      <c r="G28" s="3"/>
      <c r="H28" s="3"/>
      <c r="I28" s="9" t="s">
        <v>31</v>
      </c>
      <c r="J28" s="9" t="s">
        <v>113</v>
      </c>
      <c r="K28" s="9">
        <v>0.1</v>
      </c>
      <c r="L28" s="9" t="s">
        <v>35</v>
      </c>
    </row>
    <row r="29" ht="45.0" customHeight="1">
      <c r="A29" s="10" t="s">
        <v>150</v>
      </c>
      <c r="B29" s="10" t="s">
        <v>114</v>
      </c>
      <c r="C29" s="10" t="s">
        <v>115</v>
      </c>
      <c r="D29" s="10" t="s">
        <v>20</v>
      </c>
      <c r="E29" s="11" t="s">
        <v>20</v>
      </c>
      <c r="F29" s="3"/>
      <c r="G29" s="3"/>
      <c r="H29" s="3"/>
      <c r="I29" s="9" t="s">
        <v>31</v>
      </c>
      <c r="J29" s="9" t="s">
        <v>117</v>
      </c>
      <c r="K29" s="9">
        <v>0.1</v>
      </c>
      <c r="L29" s="9" t="s">
        <v>35</v>
      </c>
    </row>
    <row r="30" ht="168.75" customHeight="1">
      <c r="A30" s="4" t="s">
        <v>163</v>
      </c>
      <c r="B30" s="5" t="s">
        <v>15</v>
      </c>
      <c r="C30" s="5" t="s">
        <v>19</v>
      </c>
      <c r="D30" s="5" t="s">
        <v>20</v>
      </c>
      <c r="E30" s="7" t="s">
        <v>24</v>
      </c>
      <c r="F30" s="7" t="s">
        <v>166</v>
      </c>
      <c r="G30" s="8"/>
      <c r="H30" s="8"/>
      <c r="I30" s="9" t="s">
        <v>31</v>
      </c>
      <c r="J30" s="9" t="s">
        <v>33</v>
      </c>
      <c r="K30" s="9">
        <v>0.1</v>
      </c>
      <c r="L30" s="9" t="s">
        <v>35</v>
      </c>
    </row>
    <row r="31" ht="169.5" customHeight="1">
      <c r="A31" s="10" t="s">
        <v>163</v>
      </c>
      <c r="B31" s="10" t="s">
        <v>37</v>
      </c>
      <c r="C31" s="10" t="s">
        <v>38</v>
      </c>
      <c r="D31" s="10" t="s">
        <v>20</v>
      </c>
      <c r="E31" s="11" t="s">
        <v>24</v>
      </c>
      <c r="F31" s="11" t="s">
        <v>169</v>
      </c>
      <c r="G31" s="3"/>
      <c r="H31" s="3"/>
      <c r="I31" s="9" t="s">
        <v>31</v>
      </c>
      <c r="J31" s="9" t="s">
        <v>41</v>
      </c>
      <c r="K31" s="9">
        <v>0.1</v>
      </c>
      <c r="L31" s="9" t="s">
        <v>35</v>
      </c>
    </row>
    <row r="32" ht="337.5" customHeight="1">
      <c r="A32" s="10" t="s">
        <v>163</v>
      </c>
      <c r="B32" s="10" t="s">
        <v>42</v>
      </c>
      <c r="C32" s="10" t="s">
        <v>44</v>
      </c>
      <c r="D32" s="10" t="s">
        <v>45</v>
      </c>
      <c r="E32" s="11" t="s">
        <v>24</v>
      </c>
      <c r="F32" s="11" t="s">
        <v>171</v>
      </c>
      <c r="G32" s="3"/>
      <c r="H32" s="3"/>
      <c r="I32" s="9" t="s">
        <v>31</v>
      </c>
      <c r="J32" s="9" t="s">
        <v>49</v>
      </c>
      <c r="K32" s="9">
        <v>0.1</v>
      </c>
      <c r="L32" s="9" t="s">
        <v>35</v>
      </c>
    </row>
    <row r="33" ht="45.0" customHeight="1">
      <c r="A33" s="10" t="s">
        <v>163</v>
      </c>
      <c r="B33" s="10" t="s">
        <v>90</v>
      </c>
      <c r="C33" s="10" t="s">
        <v>93</v>
      </c>
      <c r="D33" s="10" t="s">
        <v>20</v>
      </c>
      <c r="E33" s="11" t="s">
        <v>24</v>
      </c>
      <c r="F33" s="7" t="s">
        <v>166</v>
      </c>
      <c r="G33" s="3"/>
      <c r="H33" s="3"/>
      <c r="I33" s="9" t="s">
        <v>31</v>
      </c>
      <c r="J33" s="9" t="s">
        <v>100</v>
      </c>
      <c r="K33" s="9">
        <v>0.1</v>
      </c>
      <c r="L33" s="9" t="s">
        <v>35</v>
      </c>
    </row>
    <row r="34" ht="45.0" customHeight="1">
      <c r="A34" s="10" t="s">
        <v>163</v>
      </c>
      <c r="B34" s="10" t="s">
        <v>103</v>
      </c>
      <c r="C34" s="10" t="s">
        <v>104</v>
      </c>
      <c r="D34" s="10" t="s">
        <v>20</v>
      </c>
      <c r="E34" s="11" t="s">
        <v>20</v>
      </c>
      <c r="F34" s="3"/>
      <c r="G34" s="3"/>
      <c r="H34" s="3"/>
      <c r="I34" s="9" t="s">
        <v>31</v>
      </c>
      <c r="J34" s="9" t="s">
        <v>108</v>
      </c>
      <c r="K34" s="9">
        <v>0.1</v>
      </c>
      <c r="L34" s="9" t="s">
        <v>35</v>
      </c>
    </row>
    <row r="35" ht="45.0" customHeight="1">
      <c r="A35" s="10" t="s">
        <v>163</v>
      </c>
      <c r="B35" s="10" t="s">
        <v>109</v>
      </c>
      <c r="C35" s="10" t="s">
        <v>110</v>
      </c>
      <c r="D35" s="10" t="s">
        <v>20</v>
      </c>
      <c r="E35" s="11" t="s">
        <v>24</v>
      </c>
      <c r="F35" s="11" t="s">
        <v>178</v>
      </c>
      <c r="G35" s="3"/>
      <c r="H35" s="3"/>
      <c r="I35" s="9" t="s">
        <v>31</v>
      </c>
      <c r="J35" s="9" t="s">
        <v>113</v>
      </c>
      <c r="K35" s="9">
        <v>0.1</v>
      </c>
      <c r="L35" s="9" t="s">
        <v>35</v>
      </c>
    </row>
    <row r="36" ht="45.0" customHeight="1">
      <c r="A36" s="10" t="s">
        <v>163</v>
      </c>
      <c r="B36" s="10" t="s">
        <v>114</v>
      </c>
      <c r="C36" s="10" t="s">
        <v>115</v>
      </c>
      <c r="D36" s="10" t="s">
        <v>20</v>
      </c>
      <c r="E36" s="11" t="s">
        <v>24</v>
      </c>
      <c r="F36" s="11" t="s">
        <v>171</v>
      </c>
      <c r="G36" s="3"/>
      <c r="H36" s="3"/>
      <c r="I36" s="9" t="s">
        <v>31</v>
      </c>
      <c r="J36" s="9" t="s">
        <v>117</v>
      </c>
      <c r="K36" s="9">
        <v>0.1</v>
      </c>
      <c r="L36" s="9" t="s">
        <v>35</v>
      </c>
    </row>
    <row r="37" ht="168.75" customHeight="1">
      <c r="A37" s="4" t="s">
        <v>181</v>
      </c>
      <c r="B37" s="5" t="s">
        <v>15</v>
      </c>
      <c r="C37" s="5" t="s">
        <v>19</v>
      </c>
      <c r="D37" s="5" t="s">
        <v>20</v>
      </c>
      <c r="E37" s="7" t="s">
        <v>24</v>
      </c>
      <c r="F37" s="7" t="s">
        <v>185</v>
      </c>
      <c r="G37" s="8"/>
      <c r="H37" s="8"/>
      <c r="I37" s="9" t="s">
        <v>31</v>
      </c>
      <c r="J37" s="9" t="s">
        <v>33</v>
      </c>
      <c r="K37" s="9">
        <v>0.1</v>
      </c>
      <c r="L37" s="9" t="s">
        <v>35</v>
      </c>
    </row>
    <row r="38" ht="169.5" customHeight="1">
      <c r="A38" s="10" t="s">
        <v>181</v>
      </c>
      <c r="B38" s="10" t="s">
        <v>37</v>
      </c>
      <c r="C38" s="10" t="s">
        <v>38</v>
      </c>
      <c r="D38" s="10" t="s">
        <v>20</v>
      </c>
      <c r="E38" s="11" t="s">
        <v>20</v>
      </c>
      <c r="F38" s="3"/>
      <c r="G38" s="3"/>
      <c r="H38" s="3"/>
      <c r="I38" s="9" t="s">
        <v>31</v>
      </c>
      <c r="J38" s="9" t="s">
        <v>41</v>
      </c>
      <c r="K38" s="9">
        <v>0.1</v>
      </c>
      <c r="L38" s="9" t="s">
        <v>35</v>
      </c>
    </row>
    <row r="39" ht="337.5" customHeight="1">
      <c r="A39" s="10" t="s">
        <v>181</v>
      </c>
      <c r="B39" s="10" t="s">
        <v>42</v>
      </c>
      <c r="C39" s="10" t="s">
        <v>44</v>
      </c>
      <c r="D39" s="10" t="s">
        <v>45</v>
      </c>
      <c r="E39" s="11" t="s">
        <v>48</v>
      </c>
      <c r="F39" s="3"/>
      <c r="G39" s="3"/>
      <c r="H39" s="11" t="s">
        <v>192</v>
      </c>
      <c r="I39" s="9" t="s">
        <v>31</v>
      </c>
      <c r="J39" s="9" t="s">
        <v>49</v>
      </c>
      <c r="K39" s="9">
        <v>0.1</v>
      </c>
      <c r="L39" s="9" t="s">
        <v>35</v>
      </c>
    </row>
    <row r="40" ht="45.0" customHeight="1">
      <c r="A40" s="10" t="s">
        <v>181</v>
      </c>
      <c r="B40" s="10" t="s">
        <v>90</v>
      </c>
      <c r="C40" s="10" t="s">
        <v>93</v>
      </c>
      <c r="D40" s="10" t="s">
        <v>20</v>
      </c>
      <c r="E40" s="11" t="s">
        <v>24</v>
      </c>
      <c r="F40" s="11" t="s">
        <v>195</v>
      </c>
      <c r="G40" s="3"/>
      <c r="H40" s="3"/>
      <c r="I40" s="9" t="s">
        <v>31</v>
      </c>
      <c r="J40" s="9" t="s">
        <v>100</v>
      </c>
      <c r="K40" s="9">
        <v>0.1</v>
      </c>
      <c r="L40" s="9" t="s">
        <v>35</v>
      </c>
    </row>
    <row r="41" ht="45.0" customHeight="1">
      <c r="A41" s="10" t="s">
        <v>181</v>
      </c>
      <c r="B41" s="10" t="s">
        <v>103</v>
      </c>
      <c r="C41" s="10" t="s">
        <v>104</v>
      </c>
      <c r="D41" s="10" t="s">
        <v>20</v>
      </c>
      <c r="E41" s="11" t="s">
        <v>24</v>
      </c>
      <c r="F41" s="11" t="s">
        <v>197</v>
      </c>
      <c r="G41" s="3"/>
      <c r="H41" s="3"/>
      <c r="I41" s="9" t="s">
        <v>31</v>
      </c>
      <c r="J41" s="9" t="s">
        <v>108</v>
      </c>
      <c r="K41" s="9">
        <v>0.1</v>
      </c>
      <c r="L41" s="9" t="s">
        <v>35</v>
      </c>
    </row>
    <row r="42" ht="45.0" customHeight="1">
      <c r="A42" s="10" t="s">
        <v>181</v>
      </c>
      <c r="B42" s="10" t="s">
        <v>109</v>
      </c>
      <c r="C42" s="10" t="s">
        <v>110</v>
      </c>
      <c r="D42" s="10" t="s">
        <v>20</v>
      </c>
      <c r="E42" s="11" t="s">
        <v>20</v>
      </c>
      <c r="F42" s="3"/>
      <c r="G42" s="3"/>
      <c r="H42" s="3"/>
      <c r="I42" s="9" t="s">
        <v>31</v>
      </c>
      <c r="J42" s="9" t="s">
        <v>113</v>
      </c>
      <c r="K42" s="9">
        <v>0.1</v>
      </c>
      <c r="L42" s="9" t="s">
        <v>35</v>
      </c>
    </row>
    <row r="43" ht="45.0" customHeight="1">
      <c r="A43" s="10" t="s">
        <v>181</v>
      </c>
      <c r="B43" s="10" t="s">
        <v>114</v>
      </c>
      <c r="C43" s="10" t="s">
        <v>115</v>
      </c>
      <c r="D43" s="10" t="s">
        <v>20</v>
      </c>
      <c r="E43" s="11" t="s">
        <v>20</v>
      </c>
      <c r="F43" s="3"/>
      <c r="G43" s="3"/>
      <c r="H43" s="3"/>
      <c r="I43" s="9" t="s">
        <v>31</v>
      </c>
      <c r="J43" s="9" t="s">
        <v>117</v>
      </c>
      <c r="K43" s="9">
        <v>0.1</v>
      </c>
      <c r="L43" s="9" t="s">
        <v>35</v>
      </c>
    </row>
    <row r="44" ht="168.75" customHeight="1">
      <c r="A44" s="4" t="s">
        <v>200</v>
      </c>
      <c r="B44" s="5" t="s">
        <v>15</v>
      </c>
      <c r="C44" s="5" t="s">
        <v>19</v>
      </c>
      <c r="D44" s="5" t="s">
        <v>20</v>
      </c>
      <c r="E44" s="7" t="s">
        <v>24</v>
      </c>
      <c r="F44" s="7" t="s">
        <v>197</v>
      </c>
      <c r="G44" s="8"/>
      <c r="H44" s="8"/>
      <c r="I44" s="9" t="s">
        <v>31</v>
      </c>
      <c r="J44" s="9" t="s">
        <v>33</v>
      </c>
      <c r="K44" s="9">
        <v>0.1</v>
      </c>
      <c r="L44" s="9" t="s">
        <v>35</v>
      </c>
    </row>
    <row r="45" ht="169.5" customHeight="1">
      <c r="A45" s="10" t="s">
        <v>200</v>
      </c>
      <c r="B45" s="10" t="s">
        <v>37</v>
      </c>
      <c r="C45" s="10" t="s">
        <v>38</v>
      </c>
      <c r="D45" s="10" t="s">
        <v>20</v>
      </c>
      <c r="E45" s="11" t="s">
        <v>20</v>
      </c>
      <c r="F45" s="3"/>
      <c r="G45" s="3"/>
      <c r="H45" s="3"/>
      <c r="I45" s="9" t="s">
        <v>31</v>
      </c>
      <c r="J45" s="9" t="s">
        <v>41</v>
      </c>
      <c r="K45" s="9">
        <v>0.1</v>
      </c>
      <c r="L45" s="9" t="s">
        <v>35</v>
      </c>
    </row>
    <row r="46" ht="337.5" customHeight="1">
      <c r="A46" s="10" t="s">
        <v>200</v>
      </c>
      <c r="B46" s="10" t="s">
        <v>42</v>
      </c>
      <c r="C46" s="10" t="s">
        <v>44</v>
      </c>
      <c r="D46" s="10" t="s">
        <v>45</v>
      </c>
      <c r="E46" s="11" t="s">
        <v>48</v>
      </c>
      <c r="F46" s="3"/>
      <c r="G46" s="3"/>
      <c r="H46" s="11" t="s">
        <v>205</v>
      </c>
      <c r="I46" s="9" t="s">
        <v>31</v>
      </c>
      <c r="J46" s="9" t="s">
        <v>49</v>
      </c>
      <c r="K46" s="9">
        <v>0.1</v>
      </c>
      <c r="L46" s="9" t="s">
        <v>35</v>
      </c>
    </row>
    <row r="47" ht="45.0" customHeight="1">
      <c r="A47" s="10" t="s">
        <v>200</v>
      </c>
      <c r="B47" s="10" t="s">
        <v>90</v>
      </c>
      <c r="C47" s="10" t="s">
        <v>93</v>
      </c>
      <c r="D47" s="10" t="s">
        <v>20</v>
      </c>
      <c r="E47" s="11" t="s">
        <v>24</v>
      </c>
      <c r="F47" s="11" t="s">
        <v>207</v>
      </c>
      <c r="G47" s="3"/>
      <c r="H47" s="3"/>
      <c r="I47" s="9" t="s">
        <v>31</v>
      </c>
      <c r="J47" s="9" t="s">
        <v>100</v>
      </c>
      <c r="K47" s="9">
        <v>0.1</v>
      </c>
      <c r="L47" s="9" t="s">
        <v>35</v>
      </c>
    </row>
    <row r="48" ht="45.0" customHeight="1">
      <c r="A48" s="10" t="s">
        <v>200</v>
      </c>
      <c r="B48" s="10" t="s">
        <v>103</v>
      </c>
      <c r="C48" s="10" t="s">
        <v>104</v>
      </c>
      <c r="D48" s="10" t="s">
        <v>20</v>
      </c>
      <c r="E48" s="11" t="s">
        <v>24</v>
      </c>
      <c r="F48" s="11" t="s">
        <v>209</v>
      </c>
      <c r="G48" s="3"/>
      <c r="H48" s="3"/>
      <c r="I48" s="9" t="s">
        <v>31</v>
      </c>
      <c r="J48" s="9" t="s">
        <v>108</v>
      </c>
      <c r="K48" s="9">
        <v>0.1</v>
      </c>
      <c r="L48" s="9" t="s">
        <v>35</v>
      </c>
    </row>
    <row r="49" ht="45.0" customHeight="1">
      <c r="A49" s="10" t="s">
        <v>200</v>
      </c>
      <c r="B49" s="10" t="s">
        <v>109</v>
      </c>
      <c r="C49" s="10" t="s">
        <v>110</v>
      </c>
      <c r="D49" s="10" t="s">
        <v>20</v>
      </c>
      <c r="E49" s="11" t="s">
        <v>20</v>
      </c>
      <c r="F49" s="3"/>
      <c r="G49" s="3"/>
      <c r="H49" s="3"/>
      <c r="I49" s="9" t="s">
        <v>31</v>
      </c>
      <c r="J49" s="9" t="s">
        <v>113</v>
      </c>
      <c r="K49" s="9">
        <v>0.1</v>
      </c>
      <c r="L49" s="9" t="s">
        <v>35</v>
      </c>
    </row>
    <row r="50" ht="45.0" customHeight="1">
      <c r="A50" s="10" t="s">
        <v>200</v>
      </c>
      <c r="B50" s="10" t="s">
        <v>114</v>
      </c>
      <c r="C50" s="10" t="s">
        <v>115</v>
      </c>
      <c r="D50" s="10" t="s">
        <v>20</v>
      </c>
      <c r="E50" s="11" t="s">
        <v>20</v>
      </c>
      <c r="F50" s="3"/>
      <c r="G50" s="3"/>
      <c r="H50" s="3"/>
      <c r="I50" s="9" t="s">
        <v>31</v>
      </c>
      <c r="J50" s="9" t="s">
        <v>117</v>
      </c>
      <c r="K50" s="9">
        <v>0.1</v>
      </c>
      <c r="L50" s="9" t="s">
        <v>35</v>
      </c>
    </row>
    <row r="51" ht="168.75" customHeight="1">
      <c r="A51" s="4" t="s">
        <v>210</v>
      </c>
      <c r="B51" s="5" t="s">
        <v>15</v>
      </c>
      <c r="C51" s="5" t="s">
        <v>19</v>
      </c>
      <c r="D51" s="5" t="s">
        <v>20</v>
      </c>
      <c r="E51" s="7" t="s">
        <v>24</v>
      </c>
      <c r="F51" s="7" t="s">
        <v>211</v>
      </c>
      <c r="G51" s="8"/>
      <c r="H51" s="8"/>
      <c r="I51" s="9" t="s">
        <v>31</v>
      </c>
      <c r="J51" s="9" t="s">
        <v>33</v>
      </c>
      <c r="K51" s="9">
        <v>0.1</v>
      </c>
      <c r="L51" s="9" t="s">
        <v>35</v>
      </c>
    </row>
    <row r="52" ht="169.5" customHeight="1">
      <c r="A52" s="10" t="s">
        <v>210</v>
      </c>
      <c r="B52" s="10" t="s">
        <v>37</v>
      </c>
      <c r="C52" s="10" t="s">
        <v>38</v>
      </c>
      <c r="D52" s="10" t="s">
        <v>20</v>
      </c>
      <c r="E52" s="11" t="s">
        <v>20</v>
      </c>
      <c r="F52" s="3"/>
      <c r="G52" s="3"/>
      <c r="H52" s="3"/>
      <c r="I52" s="9" t="s">
        <v>31</v>
      </c>
      <c r="J52" s="9" t="s">
        <v>41</v>
      </c>
      <c r="K52" s="9">
        <v>0.1</v>
      </c>
      <c r="L52" s="9" t="s">
        <v>35</v>
      </c>
    </row>
    <row r="53" ht="337.5" customHeight="1">
      <c r="A53" s="10" t="s">
        <v>210</v>
      </c>
      <c r="B53" s="10" t="s">
        <v>42</v>
      </c>
      <c r="C53" s="10" t="s">
        <v>44</v>
      </c>
      <c r="D53" s="10" t="s">
        <v>45</v>
      </c>
      <c r="E53" s="11" t="s">
        <v>48</v>
      </c>
      <c r="F53" s="3"/>
      <c r="G53" s="3"/>
      <c r="H53" s="11" t="s">
        <v>50</v>
      </c>
      <c r="I53" s="9" t="s">
        <v>31</v>
      </c>
      <c r="J53" s="9" t="s">
        <v>49</v>
      </c>
      <c r="K53" s="9">
        <v>0.1</v>
      </c>
      <c r="L53" s="9" t="s">
        <v>35</v>
      </c>
    </row>
    <row r="54" ht="45.0" customHeight="1">
      <c r="A54" s="10" t="s">
        <v>210</v>
      </c>
      <c r="B54" s="10" t="s">
        <v>90</v>
      </c>
      <c r="C54" s="10" t="s">
        <v>93</v>
      </c>
      <c r="D54" s="10" t="s">
        <v>20</v>
      </c>
      <c r="E54" s="11" t="s">
        <v>24</v>
      </c>
      <c r="F54" s="11" t="s">
        <v>211</v>
      </c>
      <c r="G54" s="3"/>
      <c r="H54" s="3"/>
      <c r="I54" s="9" t="s">
        <v>31</v>
      </c>
      <c r="J54" s="9" t="s">
        <v>100</v>
      </c>
      <c r="K54" s="9">
        <v>0.1</v>
      </c>
      <c r="L54" s="9" t="s">
        <v>35</v>
      </c>
    </row>
    <row r="55" ht="45.0" customHeight="1">
      <c r="A55" s="10" t="s">
        <v>210</v>
      </c>
      <c r="B55" s="10" t="s">
        <v>103</v>
      </c>
      <c r="C55" s="10" t="s">
        <v>104</v>
      </c>
      <c r="D55" s="10" t="s">
        <v>20</v>
      </c>
      <c r="E55" s="11" t="s">
        <v>24</v>
      </c>
      <c r="F55" s="11" t="s">
        <v>213</v>
      </c>
      <c r="G55" s="3"/>
      <c r="H55" s="3"/>
      <c r="I55" s="9" t="s">
        <v>31</v>
      </c>
      <c r="J55" s="9" t="s">
        <v>108</v>
      </c>
      <c r="K55" s="9">
        <v>0.1</v>
      </c>
      <c r="L55" s="9" t="s">
        <v>35</v>
      </c>
    </row>
    <row r="56" ht="45.0" customHeight="1">
      <c r="A56" s="10" t="s">
        <v>210</v>
      </c>
      <c r="B56" s="10" t="s">
        <v>109</v>
      </c>
      <c r="C56" s="10" t="s">
        <v>110</v>
      </c>
      <c r="D56" s="10" t="s">
        <v>20</v>
      </c>
      <c r="E56" s="11" t="s">
        <v>24</v>
      </c>
      <c r="F56" s="11" t="s">
        <v>215</v>
      </c>
      <c r="G56" s="3"/>
      <c r="H56" s="3"/>
      <c r="I56" s="9" t="s">
        <v>31</v>
      </c>
      <c r="J56" s="9" t="s">
        <v>113</v>
      </c>
      <c r="K56" s="9">
        <v>0.1</v>
      </c>
      <c r="L56" s="9" t="s">
        <v>35</v>
      </c>
    </row>
    <row r="57" ht="45.0" customHeight="1">
      <c r="A57" s="10" t="s">
        <v>210</v>
      </c>
      <c r="B57" s="10" t="s">
        <v>114</v>
      </c>
      <c r="C57" s="10" t="s">
        <v>115</v>
      </c>
      <c r="D57" s="10" t="s">
        <v>20</v>
      </c>
      <c r="E57" s="11" t="s">
        <v>20</v>
      </c>
      <c r="F57" s="3"/>
      <c r="G57" s="3"/>
      <c r="H57" s="3"/>
      <c r="I57" s="9" t="s">
        <v>31</v>
      </c>
      <c r="J57" s="9" t="s">
        <v>117</v>
      </c>
      <c r="K57" s="9">
        <v>0.1</v>
      </c>
      <c r="L57" s="9" t="s">
        <v>35</v>
      </c>
    </row>
    <row r="58" ht="168.75" customHeight="1">
      <c r="A58" s="4" t="s">
        <v>217</v>
      </c>
      <c r="B58" s="5" t="s">
        <v>15</v>
      </c>
      <c r="C58" s="5" t="s">
        <v>19</v>
      </c>
      <c r="D58" s="5" t="s">
        <v>20</v>
      </c>
      <c r="E58" s="7" t="s">
        <v>24</v>
      </c>
      <c r="F58" s="7" t="s">
        <v>219</v>
      </c>
      <c r="G58" s="8"/>
      <c r="H58" s="8"/>
      <c r="I58" s="9" t="s">
        <v>31</v>
      </c>
      <c r="J58" s="9" t="s">
        <v>33</v>
      </c>
      <c r="K58" s="9">
        <v>0.1</v>
      </c>
      <c r="L58" s="9" t="s">
        <v>35</v>
      </c>
    </row>
    <row r="59" ht="169.5" customHeight="1">
      <c r="A59" s="10" t="s">
        <v>217</v>
      </c>
      <c r="B59" s="10" t="s">
        <v>37</v>
      </c>
      <c r="C59" s="10" t="s">
        <v>38</v>
      </c>
      <c r="D59" s="10" t="s">
        <v>20</v>
      </c>
      <c r="E59" s="11" t="s">
        <v>20</v>
      </c>
      <c r="F59" s="3"/>
      <c r="G59" s="3"/>
      <c r="H59" s="3"/>
      <c r="I59" s="9" t="s">
        <v>31</v>
      </c>
      <c r="J59" s="9" t="s">
        <v>41</v>
      </c>
      <c r="K59" s="9">
        <v>0.1</v>
      </c>
      <c r="L59" s="9" t="s">
        <v>35</v>
      </c>
    </row>
    <row r="60" ht="337.5" customHeight="1">
      <c r="A60" s="10" t="s">
        <v>217</v>
      </c>
      <c r="B60" s="10" t="s">
        <v>42</v>
      </c>
      <c r="C60" s="10" t="s">
        <v>44</v>
      </c>
      <c r="D60" s="10" t="s">
        <v>45</v>
      </c>
      <c r="E60" s="11" t="s">
        <v>48</v>
      </c>
      <c r="F60" s="3"/>
      <c r="G60" s="3"/>
      <c r="H60" s="11" t="s">
        <v>153</v>
      </c>
      <c r="I60" s="9" t="s">
        <v>31</v>
      </c>
      <c r="J60" s="9" t="s">
        <v>49</v>
      </c>
      <c r="K60" s="9">
        <v>0.1</v>
      </c>
      <c r="L60" s="9" t="s">
        <v>35</v>
      </c>
    </row>
    <row r="61" ht="45.0" customHeight="1">
      <c r="A61" s="10" t="s">
        <v>217</v>
      </c>
      <c r="B61" s="10" t="s">
        <v>90</v>
      </c>
      <c r="C61" s="10" t="s">
        <v>93</v>
      </c>
      <c r="D61" s="10" t="s">
        <v>20</v>
      </c>
      <c r="E61" s="11" t="s">
        <v>24</v>
      </c>
      <c r="F61" s="11" t="s">
        <v>222</v>
      </c>
      <c r="G61" s="3"/>
      <c r="H61" s="3"/>
      <c r="I61" s="9" t="s">
        <v>31</v>
      </c>
      <c r="J61" s="9" t="s">
        <v>100</v>
      </c>
      <c r="K61" s="9">
        <v>0.1</v>
      </c>
      <c r="L61" s="9" t="s">
        <v>35</v>
      </c>
    </row>
    <row r="62" ht="45.0" customHeight="1">
      <c r="A62" s="10" t="s">
        <v>217</v>
      </c>
      <c r="B62" s="10" t="s">
        <v>103</v>
      </c>
      <c r="C62" s="10" t="s">
        <v>104</v>
      </c>
      <c r="D62" s="10" t="s">
        <v>20</v>
      </c>
      <c r="E62" s="11" t="s">
        <v>20</v>
      </c>
      <c r="F62" s="3"/>
      <c r="G62" s="3"/>
      <c r="H62" s="3"/>
      <c r="I62" s="9" t="s">
        <v>31</v>
      </c>
      <c r="J62" s="9" t="s">
        <v>108</v>
      </c>
      <c r="K62" s="9">
        <v>0.1</v>
      </c>
      <c r="L62" s="9" t="s">
        <v>35</v>
      </c>
    </row>
    <row r="63" ht="45.0" customHeight="1">
      <c r="A63" s="10" t="s">
        <v>217</v>
      </c>
      <c r="B63" s="10" t="s">
        <v>109</v>
      </c>
      <c r="C63" s="10" t="s">
        <v>110</v>
      </c>
      <c r="D63" s="10" t="s">
        <v>20</v>
      </c>
      <c r="E63" s="11" t="s">
        <v>20</v>
      </c>
      <c r="F63" s="3"/>
      <c r="G63" s="3"/>
      <c r="H63" s="3"/>
      <c r="I63" s="9" t="s">
        <v>31</v>
      </c>
      <c r="J63" s="9" t="s">
        <v>113</v>
      </c>
      <c r="K63" s="9">
        <v>0.1</v>
      </c>
      <c r="L63" s="9" t="s">
        <v>35</v>
      </c>
    </row>
    <row r="64" ht="45.0" customHeight="1">
      <c r="A64" s="10" t="s">
        <v>217</v>
      </c>
      <c r="B64" s="10" t="s">
        <v>114</v>
      </c>
      <c r="C64" s="10" t="s">
        <v>115</v>
      </c>
      <c r="D64" s="10" t="s">
        <v>20</v>
      </c>
      <c r="E64" s="11" t="s">
        <v>24</v>
      </c>
      <c r="F64" s="11" t="s">
        <v>225</v>
      </c>
      <c r="G64" s="3"/>
      <c r="H64" s="3"/>
      <c r="I64" s="9" t="s">
        <v>31</v>
      </c>
      <c r="J64" s="9" t="s">
        <v>117</v>
      </c>
      <c r="K64" s="9">
        <v>0.1</v>
      </c>
      <c r="L64" s="9" t="s">
        <v>35</v>
      </c>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E2:E3 F2:H64 E5:E64">
    <cfRule type="expression" dxfId="0" priority="1">
      <formula>OR(AND($E2="yes",$F2=""),AND(OR($G2="unsure",LEFT($E2,13)="doesn't apply"),$H2=""),AND($F2&lt;&gt;"",$E2&lt;&gt;"yes"))</formula>
    </cfRule>
  </conditionalFormatting>
  <conditionalFormatting sqref="E2:E3 E5:E64">
    <cfRule type="expression" dxfId="1" priority="2">
      <formula>$E2=""</formula>
    </cfRule>
  </conditionalFormatting>
  <dataValidations>
    <dataValidation type="list" allowBlank="1" showErrorMessage="1" sqref="E2:E3 E5:E10 E12:E17 E19:E24 E26:E31 E33:E38 E40:E45 E47:E52 E54:E59 E61:E64">
      <formula1>"yes,no"</formula1>
    </dataValidation>
    <dataValidation type="list" allowBlank="1" showErrorMessage="1" sqref="G2:G64">
      <formula1>"unsure"</formula1>
    </dataValidation>
    <dataValidation type="list" allowBlank="1" showErrorMessage="1" sqref="E11 E18 E25 E32 E39 E46 E53 E60">
      <formula1>"yes,no,doesn't apply: the reply gives no advice"</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0.0"/>
    <col customWidth="1" min="3" max="3" width="88.0"/>
    <col customWidth="1" min="4" max="4" width="30.0"/>
    <col customWidth="1" min="5" max="5" width="26.0"/>
    <col customWidth="1" min="6" max="6" width="46.0"/>
    <col customWidth="1" min="7" max="7" width="16.0"/>
    <col customWidth="1" min="8" max="8" width="40.0"/>
    <col customWidth="1" hidden="1" min="9" max="9" width="10.0"/>
    <col customWidth="1" hidden="1" min="10" max="10" width="12.0"/>
    <col customWidth="1" hidden="1" min="11" max="12" width="10.0"/>
    <col customWidth="1" min="13" max="26" width="8.71"/>
  </cols>
  <sheetData>
    <row r="1" ht="48.0" customHeight="1">
      <c r="A1" s="1" t="s">
        <v>0</v>
      </c>
      <c r="B1" s="1" t="s">
        <v>2</v>
      </c>
      <c r="C1" s="1" t="s">
        <v>3</v>
      </c>
      <c r="D1" s="1" t="s">
        <v>4</v>
      </c>
      <c r="E1" s="1" t="s">
        <v>5</v>
      </c>
      <c r="F1" s="1" t="s">
        <v>6</v>
      </c>
      <c r="G1" s="1" t="s">
        <v>7</v>
      </c>
      <c r="H1" s="1" t="s">
        <v>8</v>
      </c>
      <c r="I1" s="1" t="s">
        <v>9</v>
      </c>
      <c r="J1" s="1" t="s">
        <v>10</v>
      </c>
      <c r="K1" s="1" t="s">
        <v>11</v>
      </c>
      <c r="L1" s="1" t="s">
        <v>12</v>
      </c>
    </row>
    <row r="2" ht="168.75" customHeight="1">
      <c r="A2" s="4" t="s">
        <v>14</v>
      </c>
      <c r="B2" s="5" t="s">
        <v>15</v>
      </c>
      <c r="C2" s="5" t="s">
        <v>19</v>
      </c>
      <c r="D2" s="5" t="s">
        <v>20</v>
      </c>
      <c r="E2" s="7" t="s">
        <v>24</v>
      </c>
      <c r="F2" s="7" t="s">
        <v>26</v>
      </c>
      <c r="G2" s="8"/>
      <c r="H2" s="8"/>
      <c r="I2" s="9" t="s">
        <v>30</v>
      </c>
      <c r="J2" s="9" t="s">
        <v>33</v>
      </c>
      <c r="K2" s="9">
        <v>0.1</v>
      </c>
      <c r="L2" s="9" t="s">
        <v>35</v>
      </c>
    </row>
    <row r="3" ht="169.5" customHeight="1">
      <c r="A3" s="10" t="s">
        <v>14</v>
      </c>
      <c r="B3" s="10" t="s">
        <v>37</v>
      </c>
      <c r="C3" s="10" t="s">
        <v>38</v>
      </c>
      <c r="D3" s="10" t="s">
        <v>20</v>
      </c>
      <c r="E3" s="11" t="s">
        <v>20</v>
      </c>
      <c r="F3" s="3"/>
      <c r="G3" s="3"/>
      <c r="H3" s="3"/>
      <c r="I3" s="9" t="s">
        <v>30</v>
      </c>
      <c r="J3" s="9" t="s">
        <v>41</v>
      </c>
      <c r="K3" s="9">
        <v>0.1</v>
      </c>
      <c r="L3" s="9" t="s">
        <v>35</v>
      </c>
    </row>
    <row r="4" ht="337.5" customHeight="1">
      <c r="A4" s="10" t="s">
        <v>14</v>
      </c>
      <c r="B4" s="10" t="s">
        <v>42</v>
      </c>
      <c r="C4" s="10" t="s">
        <v>44</v>
      </c>
      <c r="D4" s="10" t="s">
        <v>45</v>
      </c>
      <c r="E4" s="11" t="s">
        <v>48</v>
      </c>
      <c r="F4" s="3"/>
      <c r="G4" s="3"/>
      <c r="H4" s="11" t="s">
        <v>50</v>
      </c>
      <c r="I4" s="9" t="s">
        <v>30</v>
      </c>
      <c r="J4" s="9" t="s">
        <v>49</v>
      </c>
      <c r="K4" s="9">
        <v>0.1</v>
      </c>
      <c r="L4" s="9" t="s">
        <v>35</v>
      </c>
    </row>
    <row r="5" ht="45.0" customHeight="1">
      <c r="A5" s="10" t="s">
        <v>14</v>
      </c>
      <c r="B5" s="10" t="s">
        <v>53</v>
      </c>
      <c r="C5" s="10" t="s">
        <v>54</v>
      </c>
      <c r="D5" s="10" t="s">
        <v>20</v>
      </c>
      <c r="E5" s="11" t="s">
        <v>24</v>
      </c>
      <c r="F5" s="11" t="s">
        <v>55</v>
      </c>
      <c r="G5" s="3"/>
      <c r="H5" s="3"/>
      <c r="I5" s="9" t="s">
        <v>30</v>
      </c>
      <c r="J5" s="9" t="s">
        <v>57</v>
      </c>
      <c r="K5" s="9">
        <v>0.1</v>
      </c>
      <c r="L5" s="9" t="s">
        <v>35</v>
      </c>
    </row>
    <row r="6" ht="45.0" customHeight="1">
      <c r="A6" s="10" t="s">
        <v>14</v>
      </c>
      <c r="B6" s="10" t="s">
        <v>59</v>
      </c>
      <c r="C6" s="10" t="s">
        <v>61</v>
      </c>
      <c r="D6" s="10" t="s">
        <v>20</v>
      </c>
      <c r="E6" s="11" t="s">
        <v>24</v>
      </c>
      <c r="F6" s="11" t="s">
        <v>63</v>
      </c>
      <c r="G6" s="3"/>
      <c r="H6" s="3"/>
      <c r="I6" s="9" t="s">
        <v>30</v>
      </c>
      <c r="J6" s="9" t="s">
        <v>65</v>
      </c>
      <c r="K6" s="9">
        <v>0.1</v>
      </c>
      <c r="L6" s="9" t="s">
        <v>35</v>
      </c>
    </row>
    <row r="7" ht="45.0" customHeight="1">
      <c r="A7" s="10" t="s">
        <v>14</v>
      </c>
      <c r="B7" s="10" t="s">
        <v>66</v>
      </c>
      <c r="C7" s="10" t="s">
        <v>67</v>
      </c>
      <c r="D7" s="10" t="s">
        <v>20</v>
      </c>
      <c r="E7" s="11" t="s">
        <v>20</v>
      </c>
      <c r="G7" s="3"/>
      <c r="H7" s="3"/>
      <c r="I7" s="9" t="s">
        <v>30</v>
      </c>
      <c r="J7" s="9" t="s">
        <v>68</v>
      </c>
      <c r="K7" s="9">
        <v>0.1</v>
      </c>
      <c r="L7" s="9" t="s">
        <v>35</v>
      </c>
    </row>
    <row r="8" ht="45.0" customHeight="1">
      <c r="A8" s="10" t="s">
        <v>14</v>
      </c>
      <c r="B8" s="10" t="s">
        <v>69</v>
      </c>
      <c r="C8" s="10" t="s">
        <v>70</v>
      </c>
      <c r="D8" s="10" t="s">
        <v>20</v>
      </c>
      <c r="E8" s="11" t="s">
        <v>20</v>
      </c>
      <c r="F8" s="3"/>
      <c r="G8" s="3"/>
      <c r="H8" s="3"/>
      <c r="I8" s="9" t="s">
        <v>30</v>
      </c>
      <c r="J8" s="9" t="s">
        <v>71</v>
      </c>
      <c r="K8" s="9">
        <v>0.1</v>
      </c>
      <c r="L8" s="9" t="s">
        <v>35</v>
      </c>
    </row>
    <row r="9" ht="45.0" customHeight="1">
      <c r="A9" s="10" t="s">
        <v>14</v>
      </c>
      <c r="B9" s="10" t="s">
        <v>72</v>
      </c>
      <c r="C9" s="10" t="s">
        <v>73</v>
      </c>
      <c r="D9" s="10" t="s">
        <v>20</v>
      </c>
      <c r="E9" s="11" t="s">
        <v>20</v>
      </c>
      <c r="F9" s="3"/>
      <c r="G9" s="3"/>
      <c r="H9" s="3"/>
      <c r="I9" s="9" t="s">
        <v>30</v>
      </c>
      <c r="J9" s="9" t="s">
        <v>74</v>
      </c>
      <c r="K9" s="9">
        <v>0.1</v>
      </c>
      <c r="L9" s="9" t="s">
        <v>35</v>
      </c>
    </row>
    <row r="10" ht="168.75" customHeight="1">
      <c r="A10" s="4" t="s">
        <v>76</v>
      </c>
      <c r="B10" s="5" t="s">
        <v>15</v>
      </c>
      <c r="C10" s="5" t="s">
        <v>19</v>
      </c>
      <c r="D10" s="5" t="s">
        <v>20</v>
      </c>
      <c r="E10" s="7" t="s">
        <v>24</v>
      </c>
      <c r="F10" s="7" t="s">
        <v>81</v>
      </c>
      <c r="G10" s="8"/>
      <c r="H10" s="8"/>
      <c r="I10" s="9" t="s">
        <v>30</v>
      </c>
      <c r="J10" s="9" t="s">
        <v>33</v>
      </c>
      <c r="K10" s="9">
        <v>0.1</v>
      </c>
      <c r="L10" s="9" t="s">
        <v>35</v>
      </c>
    </row>
    <row r="11" ht="169.5" customHeight="1">
      <c r="A11" s="10" t="s">
        <v>76</v>
      </c>
      <c r="B11" s="10" t="s">
        <v>37</v>
      </c>
      <c r="C11" s="10" t="s">
        <v>38</v>
      </c>
      <c r="D11" s="10" t="s">
        <v>20</v>
      </c>
      <c r="E11" s="11" t="s">
        <v>20</v>
      </c>
      <c r="F11" s="3"/>
      <c r="G11" s="3"/>
      <c r="H11" s="3"/>
      <c r="I11" s="9" t="s">
        <v>30</v>
      </c>
      <c r="J11" s="9" t="s">
        <v>41</v>
      </c>
      <c r="K11" s="9">
        <v>0.1</v>
      </c>
      <c r="L11" s="9" t="s">
        <v>35</v>
      </c>
    </row>
    <row r="12" ht="337.5" customHeight="1">
      <c r="A12" s="10" t="s">
        <v>76</v>
      </c>
      <c r="B12" s="10" t="s">
        <v>42</v>
      </c>
      <c r="C12" s="10" t="s">
        <v>44</v>
      </c>
      <c r="D12" s="10" t="s">
        <v>45</v>
      </c>
      <c r="E12" s="11" t="s">
        <v>48</v>
      </c>
      <c r="F12" s="3"/>
      <c r="G12" s="3"/>
      <c r="H12" s="11" t="s">
        <v>50</v>
      </c>
      <c r="I12" s="9" t="s">
        <v>30</v>
      </c>
      <c r="J12" s="9" t="s">
        <v>49</v>
      </c>
      <c r="K12" s="9">
        <v>0.1</v>
      </c>
      <c r="L12" s="9" t="s">
        <v>35</v>
      </c>
    </row>
    <row r="13" ht="45.0" customHeight="1">
      <c r="A13" s="10" t="s">
        <v>76</v>
      </c>
      <c r="B13" s="10" t="s">
        <v>53</v>
      </c>
      <c r="C13" s="10" t="s">
        <v>54</v>
      </c>
      <c r="D13" s="10" t="s">
        <v>20</v>
      </c>
      <c r="E13" s="11" t="s">
        <v>24</v>
      </c>
      <c r="F13" s="11" t="s">
        <v>112</v>
      </c>
      <c r="G13" s="3"/>
      <c r="H13" s="3"/>
      <c r="I13" s="9" t="s">
        <v>30</v>
      </c>
      <c r="J13" s="9" t="s">
        <v>57</v>
      </c>
      <c r="K13" s="9">
        <v>0.1</v>
      </c>
      <c r="L13" s="9" t="s">
        <v>35</v>
      </c>
    </row>
    <row r="14" ht="45.0" customHeight="1">
      <c r="A14" s="10" t="s">
        <v>76</v>
      </c>
      <c r="B14" s="10" t="s">
        <v>59</v>
      </c>
      <c r="C14" s="10" t="s">
        <v>61</v>
      </c>
      <c r="D14" s="10" t="s">
        <v>20</v>
      </c>
      <c r="E14" s="11" t="s">
        <v>24</v>
      </c>
      <c r="F14" s="11" t="s">
        <v>116</v>
      </c>
      <c r="G14" s="3"/>
      <c r="H14" s="3"/>
      <c r="I14" s="9" t="s">
        <v>30</v>
      </c>
      <c r="J14" s="9" t="s">
        <v>65</v>
      </c>
      <c r="K14" s="9">
        <v>0.1</v>
      </c>
      <c r="L14" s="9" t="s">
        <v>35</v>
      </c>
    </row>
    <row r="15" ht="45.0" customHeight="1">
      <c r="A15" s="10" t="s">
        <v>76</v>
      </c>
      <c r="B15" s="10" t="s">
        <v>66</v>
      </c>
      <c r="C15" s="10" t="s">
        <v>67</v>
      </c>
      <c r="D15" s="10" t="s">
        <v>20</v>
      </c>
      <c r="E15" s="11" t="s">
        <v>20</v>
      </c>
      <c r="F15" s="3"/>
      <c r="G15" s="3"/>
      <c r="H15" s="3"/>
      <c r="I15" s="9" t="s">
        <v>30</v>
      </c>
      <c r="J15" s="9" t="s">
        <v>68</v>
      </c>
      <c r="K15" s="9">
        <v>0.1</v>
      </c>
      <c r="L15" s="9" t="s">
        <v>35</v>
      </c>
    </row>
    <row r="16" ht="45.0" customHeight="1">
      <c r="A16" s="10" t="s">
        <v>76</v>
      </c>
      <c r="B16" s="10" t="s">
        <v>69</v>
      </c>
      <c r="C16" s="10" t="s">
        <v>70</v>
      </c>
      <c r="D16" s="10" t="s">
        <v>20</v>
      </c>
      <c r="E16" s="11" t="s">
        <v>20</v>
      </c>
      <c r="F16" s="3"/>
      <c r="G16" s="3"/>
      <c r="H16" s="3"/>
      <c r="I16" s="9" t="s">
        <v>30</v>
      </c>
      <c r="J16" s="9" t="s">
        <v>71</v>
      </c>
      <c r="K16" s="9">
        <v>0.1</v>
      </c>
      <c r="L16" s="9" t="s">
        <v>35</v>
      </c>
    </row>
    <row r="17" ht="45.0" customHeight="1">
      <c r="A17" s="10" t="s">
        <v>76</v>
      </c>
      <c r="B17" s="10" t="s">
        <v>72</v>
      </c>
      <c r="C17" s="10" t="s">
        <v>73</v>
      </c>
      <c r="D17" s="10" t="s">
        <v>20</v>
      </c>
      <c r="E17" s="11" t="s">
        <v>20</v>
      </c>
      <c r="F17" s="3"/>
      <c r="G17" s="3"/>
      <c r="H17" s="3"/>
      <c r="I17" s="9" t="s">
        <v>30</v>
      </c>
      <c r="J17" s="9" t="s">
        <v>74</v>
      </c>
      <c r="K17" s="9">
        <v>0.1</v>
      </c>
      <c r="L17" s="9" t="s">
        <v>35</v>
      </c>
    </row>
    <row r="18" ht="168.75" customHeight="1">
      <c r="A18" s="4" t="s">
        <v>122</v>
      </c>
      <c r="B18" s="5" t="s">
        <v>15</v>
      </c>
      <c r="C18" s="5" t="s">
        <v>19</v>
      </c>
      <c r="D18" s="5" t="s">
        <v>20</v>
      </c>
      <c r="E18" s="7" t="s">
        <v>24</v>
      </c>
      <c r="F18" s="7" t="s">
        <v>81</v>
      </c>
      <c r="G18" s="8"/>
      <c r="H18" s="8"/>
      <c r="I18" s="9" t="s">
        <v>30</v>
      </c>
      <c r="J18" s="9" t="s">
        <v>33</v>
      </c>
      <c r="K18" s="9">
        <v>0.1</v>
      </c>
      <c r="L18" s="9" t="s">
        <v>35</v>
      </c>
    </row>
    <row r="19" ht="169.5" customHeight="1">
      <c r="A19" s="10" t="s">
        <v>122</v>
      </c>
      <c r="B19" s="10" t="s">
        <v>37</v>
      </c>
      <c r="C19" s="10" t="s">
        <v>38</v>
      </c>
      <c r="D19" s="10" t="s">
        <v>20</v>
      </c>
      <c r="E19" s="11" t="s">
        <v>20</v>
      </c>
      <c r="F19" s="3"/>
      <c r="G19" s="3"/>
      <c r="H19" s="3"/>
      <c r="I19" s="9" t="s">
        <v>30</v>
      </c>
      <c r="J19" s="9" t="s">
        <v>41</v>
      </c>
      <c r="K19" s="9">
        <v>0.1</v>
      </c>
      <c r="L19" s="9" t="s">
        <v>35</v>
      </c>
    </row>
    <row r="20" ht="337.5" customHeight="1">
      <c r="A20" s="10" t="s">
        <v>122</v>
      </c>
      <c r="B20" s="10" t="s">
        <v>42</v>
      </c>
      <c r="C20" s="10" t="s">
        <v>44</v>
      </c>
      <c r="D20" s="10" t="s">
        <v>45</v>
      </c>
      <c r="E20" s="11" t="s">
        <v>48</v>
      </c>
      <c r="F20" s="3"/>
      <c r="G20" s="3"/>
      <c r="H20" s="11" t="s">
        <v>50</v>
      </c>
      <c r="I20" s="9" t="s">
        <v>30</v>
      </c>
      <c r="J20" s="9" t="s">
        <v>49</v>
      </c>
      <c r="K20" s="9">
        <v>0.1</v>
      </c>
      <c r="L20" s="9" t="s">
        <v>35</v>
      </c>
    </row>
    <row r="21" ht="45.0" customHeight="1">
      <c r="A21" s="10" t="s">
        <v>122</v>
      </c>
      <c r="B21" s="10" t="s">
        <v>53</v>
      </c>
      <c r="C21" s="10" t="s">
        <v>54</v>
      </c>
      <c r="D21" s="10" t="s">
        <v>20</v>
      </c>
      <c r="E21" s="11" t="s">
        <v>24</v>
      </c>
      <c r="F21" s="11" t="s">
        <v>81</v>
      </c>
      <c r="G21" s="3"/>
      <c r="H21" s="3"/>
      <c r="I21" s="9" t="s">
        <v>30</v>
      </c>
      <c r="J21" s="9" t="s">
        <v>57</v>
      </c>
      <c r="K21" s="9">
        <v>0.1</v>
      </c>
      <c r="L21" s="9" t="s">
        <v>35</v>
      </c>
    </row>
    <row r="22" ht="45.0" customHeight="1">
      <c r="A22" s="10" t="s">
        <v>122</v>
      </c>
      <c r="B22" s="10" t="s">
        <v>59</v>
      </c>
      <c r="C22" s="10" t="s">
        <v>61</v>
      </c>
      <c r="D22" s="10" t="s">
        <v>20</v>
      </c>
      <c r="E22" s="11" t="s">
        <v>20</v>
      </c>
      <c r="F22" s="3"/>
      <c r="G22" s="3"/>
      <c r="H22" s="3"/>
      <c r="I22" s="9" t="s">
        <v>30</v>
      </c>
      <c r="J22" s="9" t="s">
        <v>65</v>
      </c>
      <c r="K22" s="9">
        <v>0.1</v>
      </c>
      <c r="L22" s="9" t="s">
        <v>35</v>
      </c>
    </row>
    <row r="23" ht="45.0" customHeight="1">
      <c r="A23" s="10" t="s">
        <v>122</v>
      </c>
      <c r="B23" s="10" t="s">
        <v>66</v>
      </c>
      <c r="C23" s="10" t="s">
        <v>67</v>
      </c>
      <c r="D23" s="10" t="s">
        <v>20</v>
      </c>
      <c r="E23" s="11" t="s">
        <v>20</v>
      </c>
      <c r="F23" s="3"/>
      <c r="G23" s="3"/>
      <c r="H23" s="3"/>
      <c r="I23" s="9" t="s">
        <v>30</v>
      </c>
      <c r="J23" s="9" t="s">
        <v>68</v>
      </c>
      <c r="K23" s="9">
        <v>0.1</v>
      </c>
      <c r="L23" s="9" t="s">
        <v>35</v>
      </c>
    </row>
    <row r="24" ht="45.0" customHeight="1">
      <c r="A24" s="10" t="s">
        <v>122</v>
      </c>
      <c r="B24" s="10" t="s">
        <v>69</v>
      </c>
      <c r="C24" s="10" t="s">
        <v>70</v>
      </c>
      <c r="D24" s="10" t="s">
        <v>20</v>
      </c>
      <c r="E24" s="11" t="s">
        <v>20</v>
      </c>
      <c r="F24" s="3"/>
      <c r="G24" s="3"/>
      <c r="H24" s="3"/>
      <c r="I24" s="9" t="s">
        <v>30</v>
      </c>
      <c r="J24" s="9" t="s">
        <v>71</v>
      </c>
      <c r="K24" s="9">
        <v>0.1</v>
      </c>
      <c r="L24" s="9" t="s">
        <v>35</v>
      </c>
    </row>
    <row r="25" ht="45.0" customHeight="1">
      <c r="A25" s="10" t="s">
        <v>122</v>
      </c>
      <c r="B25" s="10" t="s">
        <v>72</v>
      </c>
      <c r="C25" s="10" t="s">
        <v>73</v>
      </c>
      <c r="D25" s="10" t="s">
        <v>20</v>
      </c>
      <c r="E25" s="11" t="s">
        <v>20</v>
      </c>
      <c r="F25" s="3"/>
      <c r="G25" s="3"/>
      <c r="H25" s="3"/>
      <c r="I25" s="9" t="s">
        <v>30</v>
      </c>
      <c r="J25" s="9" t="s">
        <v>74</v>
      </c>
      <c r="K25" s="9">
        <v>0.1</v>
      </c>
      <c r="L25" s="9" t="s">
        <v>35</v>
      </c>
    </row>
    <row r="26" ht="168.75" customHeight="1">
      <c r="A26" s="4" t="s">
        <v>133</v>
      </c>
      <c r="B26" s="5" t="s">
        <v>15</v>
      </c>
      <c r="C26" s="5" t="s">
        <v>19</v>
      </c>
      <c r="D26" s="5" t="s">
        <v>20</v>
      </c>
      <c r="E26" s="7" t="s">
        <v>24</v>
      </c>
      <c r="F26" s="7" t="s">
        <v>135</v>
      </c>
      <c r="G26" s="8"/>
      <c r="H26" s="8"/>
      <c r="I26" s="9" t="s">
        <v>30</v>
      </c>
      <c r="J26" s="9" t="s">
        <v>33</v>
      </c>
      <c r="K26" s="9">
        <v>0.1</v>
      </c>
      <c r="L26" s="9" t="s">
        <v>35</v>
      </c>
    </row>
    <row r="27" ht="169.5" customHeight="1">
      <c r="A27" s="10" t="s">
        <v>133</v>
      </c>
      <c r="B27" s="10" t="s">
        <v>37</v>
      </c>
      <c r="C27" s="10" t="s">
        <v>38</v>
      </c>
      <c r="D27" s="10" t="s">
        <v>20</v>
      </c>
      <c r="E27" s="11" t="s">
        <v>20</v>
      </c>
      <c r="F27" s="3"/>
      <c r="G27" s="3"/>
      <c r="H27" s="3"/>
      <c r="I27" s="9" t="s">
        <v>30</v>
      </c>
      <c r="J27" s="9" t="s">
        <v>41</v>
      </c>
      <c r="K27" s="9">
        <v>0.1</v>
      </c>
      <c r="L27" s="9" t="s">
        <v>35</v>
      </c>
    </row>
    <row r="28" ht="337.5" customHeight="1">
      <c r="A28" s="10" t="s">
        <v>133</v>
      </c>
      <c r="B28" s="10" t="s">
        <v>42</v>
      </c>
      <c r="C28" s="10" t="s">
        <v>44</v>
      </c>
      <c r="D28" s="10" t="s">
        <v>45</v>
      </c>
      <c r="E28" s="11" t="s">
        <v>48</v>
      </c>
      <c r="F28" s="3"/>
      <c r="G28" s="3"/>
      <c r="H28" s="11" t="s">
        <v>139</v>
      </c>
      <c r="I28" s="9" t="s">
        <v>30</v>
      </c>
      <c r="J28" s="9" t="s">
        <v>49</v>
      </c>
      <c r="K28" s="9">
        <v>0.1</v>
      </c>
      <c r="L28" s="9" t="s">
        <v>35</v>
      </c>
    </row>
    <row r="29" ht="45.0" customHeight="1">
      <c r="A29" s="10" t="s">
        <v>133</v>
      </c>
      <c r="B29" s="10" t="s">
        <v>53</v>
      </c>
      <c r="C29" s="10" t="s">
        <v>54</v>
      </c>
      <c r="D29" s="10" t="s">
        <v>20</v>
      </c>
      <c r="E29" s="11" t="s">
        <v>24</v>
      </c>
      <c r="F29" s="11" t="s">
        <v>141</v>
      </c>
      <c r="G29" s="3"/>
      <c r="H29" s="3"/>
      <c r="I29" s="9" t="s">
        <v>30</v>
      </c>
      <c r="J29" s="9" t="s">
        <v>57</v>
      </c>
      <c r="K29" s="9">
        <v>0.1</v>
      </c>
      <c r="L29" s="9" t="s">
        <v>35</v>
      </c>
    </row>
    <row r="30" ht="45.0" customHeight="1">
      <c r="A30" s="10" t="s">
        <v>133</v>
      </c>
      <c r="B30" s="10" t="s">
        <v>59</v>
      </c>
      <c r="C30" s="10" t="s">
        <v>61</v>
      </c>
      <c r="D30" s="10" t="s">
        <v>20</v>
      </c>
      <c r="E30" s="11" t="s">
        <v>20</v>
      </c>
      <c r="F30" s="3"/>
      <c r="G30" s="3"/>
      <c r="H30" s="3"/>
      <c r="I30" s="9" t="s">
        <v>30</v>
      </c>
      <c r="J30" s="9" t="s">
        <v>65</v>
      </c>
      <c r="K30" s="9">
        <v>0.1</v>
      </c>
      <c r="L30" s="9" t="s">
        <v>35</v>
      </c>
    </row>
    <row r="31" ht="45.0" customHeight="1">
      <c r="A31" s="10" t="s">
        <v>133</v>
      </c>
      <c r="B31" s="10" t="s">
        <v>66</v>
      </c>
      <c r="C31" s="10" t="s">
        <v>67</v>
      </c>
      <c r="D31" s="10" t="s">
        <v>20</v>
      </c>
      <c r="E31" s="11" t="s">
        <v>20</v>
      </c>
      <c r="F31" s="3"/>
      <c r="G31" s="3"/>
      <c r="H31" s="3"/>
      <c r="I31" s="9" t="s">
        <v>30</v>
      </c>
      <c r="J31" s="9" t="s">
        <v>68</v>
      </c>
      <c r="K31" s="9">
        <v>0.1</v>
      </c>
      <c r="L31" s="9" t="s">
        <v>35</v>
      </c>
    </row>
    <row r="32" ht="45.0" customHeight="1">
      <c r="A32" s="10" t="s">
        <v>133</v>
      </c>
      <c r="B32" s="10" t="s">
        <v>69</v>
      </c>
      <c r="C32" s="10" t="s">
        <v>70</v>
      </c>
      <c r="D32" s="10" t="s">
        <v>20</v>
      </c>
      <c r="E32" s="11" t="s">
        <v>20</v>
      </c>
      <c r="F32" s="3"/>
      <c r="G32" s="3"/>
      <c r="H32" s="3"/>
      <c r="I32" s="9" t="s">
        <v>30</v>
      </c>
      <c r="J32" s="9" t="s">
        <v>71</v>
      </c>
      <c r="K32" s="9">
        <v>0.1</v>
      </c>
      <c r="L32" s="9" t="s">
        <v>35</v>
      </c>
    </row>
    <row r="33" ht="45.0" customHeight="1">
      <c r="A33" s="10" t="s">
        <v>133</v>
      </c>
      <c r="B33" s="10" t="s">
        <v>72</v>
      </c>
      <c r="C33" s="10" t="s">
        <v>73</v>
      </c>
      <c r="D33" s="10" t="s">
        <v>20</v>
      </c>
      <c r="E33" s="11" t="s">
        <v>20</v>
      </c>
      <c r="F33" s="3"/>
      <c r="G33" s="3"/>
      <c r="H33" s="3"/>
      <c r="I33" s="9" t="s">
        <v>30</v>
      </c>
      <c r="J33" s="9" t="s">
        <v>74</v>
      </c>
      <c r="K33" s="9">
        <v>0.1</v>
      </c>
      <c r="L33" s="9" t="s">
        <v>35</v>
      </c>
    </row>
    <row r="34" ht="168.75" customHeight="1">
      <c r="A34" s="4" t="s">
        <v>146</v>
      </c>
      <c r="B34" s="5" t="s">
        <v>15</v>
      </c>
      <c r="C34" s="5" t="s">
        <v>19</v>
      </c>
      <c r="D34" s="5" t="s">
        <v>20</v>
      </c>
      <c r="E34" s="7" t="s">
        <v>24</v>
      </c>
      <c r="F34" s="7" t="s">
        <v>148</v>
      </c>
      <c r="G34" s="8"/>
      <c r="H34" s="8"/>
      <c r="I34" s="9" t="s">
        <v>30</v>
      </c>
      <c r="J34" s="9" t="s">
        <v>33</v>
      </c>
      <c r="K34" s="9">
        <v>0.1</v>
      </c>
      <c r="L34" s="9" t="s">
        <v>35</v>
      </c>
    </row>
    <row r="35" ht="169.5" customHeight="1">
      <c r="A35" s="10" t="s">
        <v>146</v>
      </c>
      <c r="B35" s="10" t="s">
        <v>37</v>
      </c>
      <c r="C35" s="10" t="s">
        <v>38</v>
      </c>
      <c r="D35" s="10" t="s">
        <v>20</v>
      </c>
      <c r="E35" s="11" t="s">
        <v>20</v>
      </c>
      <c r="F35" s="3"/>
      <c r="G35" s="3"/>
      <c r="H35" s="3"/>
      <c r="I35" s="9" t="s">
        <v>30</v>
      </c>
      <c r="J35" s="9" t="s">
        <v>41</v>
      </c>
      <c r="K35" s="9">
        <v>0.1</v>
      </c>
      <c r="L35" s="9" t="s">
        <v>35</v>
      </c>
    </row>
    <row r="36" ht="337.5" customHeight="1">
      <c r="A36" s="10" t="s">
        <v>146</v>
      </c>
      <c r="B36" s="10" t="s">
        <v>42</v>
      </c>
      <c r="C36" s="10" t="s">
        <v>44</v>
      </c>
      <c r="D36" s="10" t="s">
        <v>45</v>
      </c>
      <c r="E36" s="11" t="s">
        <v>48</v>
      </c>
      <c r="F36" s="3"/>
      <c r="G36" s="3"/>
      <c r="H36" s="11" t="s">
        <v>153</v>
      </c>
      <c r="I36" s="9" t="s">
        <v>30</v>
      </c>
      <c r="J36" s="9" t="s">
        <v>49</v>
      </c>
      <c r="K36" s="9">
        <v>0.1</v>
      </c>
      <c r="L36" s="9" t="s">
        <v>35</v>
      </c>
    </row>
    <row r="37" ht="45.0" customHeight="1">
      <c r="A37" s="10" t="s">
        <v>146</v>
      </c>
      <c r="B37" s="10" t="s">
        <v>53</v>
      </c>
      <c r="C37" s="10" t="s">
        <v>54</v>
      </c>
      <c r="D37" s="10" t="s">
        <v>20</v>
      </c>
      <c r="E37" s="11" t="s">
        <v>24</v>
      </c>
      <c r="F37" s="11" t="s">
        <v>155</v>
      </c>
      <c r="G37" s="3"/>
      <c r="H37" s="3"/>
      <c r="I37" s="9" t="s">
        <v>30</v>
      </c>
      <c r="J37" s="9" t="s">
        <v>57</v>
      </c>
      <c r="K37" s="9">
        <v>0.1</v>
      </c>
      <c r="L37" s="9" t="s">
        <v>35</v>
      </c>
    </row>
    <row r="38" ht="45.0" customHeight="1">
      <c r="A38" s="10" t="s">
        <v>146</v>
      </c>
      <c r="B38" s="10" t="s">
        <v>59</v>
      </c>
      <c r="C38" s="10" t="s">
        <v>61</v>
      </c>
      <c r="D38" s="10" t="s">
        <v>20</v>
      </c>
      <c r="E38" s="11" t="s">
        <v>20</v>
      </c>
      <c r="F38" s="3"/>
      <c r="G38" s="3"/>
      <c r="H38" s="3"/>
      <c r="I38" s="9" t="s">
        <v>30</v>
      </c>
      <c r="J38" s="9" t="s">
        <v>65</v>
      </c>
      <c r="K38" s="9">
        <v>0.1</v>
      </c>
      <c r="L38" s="9" t="s">
        <v>35</v>
      </c>
    </row>
    <row r="39" ht="45.0" customHeight="1">
      <c r="A39" s="10" t="s">
        <v>146</v>
      </c>
      <c r="B39" s="10" t="s">
        <v>66</v>
      </c>
      <c r="C39" s="10" t="s">
        <v>67</v>
      </c>
      <c r="D39" s="10" t="s">
        <v>20</v>
      </c>
      <c r="E39" s="11" t="s">
        <v>20</v>
      </c>
      <c r="F39" s="3"/>
      <c r="G39" s="3"/>
      <c r="H39" s="3"/>
      <c r="I39" s="9" t="s">
        <v>30</v>
      </c>
      <c r="J39" s="9" t="s">
        <v>68</v>
      </c>
      <c r="K39" s="9">
        <v>0.1</v>
      </c>
      <c r="L39" s="9" t="s">
        <v>35</v>
      </c>
    </row>
    <row r="40" ht="45.0" customHeight="1">
      <c r="A40" s="10" t="s">
        <v>146</v>
      </c>
      <c r="B40" s="10" t="s">
        <v>69</v>
      </c>
      <c r="C40" s="10" t="s">
        <v>70</v>
      </c>
      <c r="D40" s="10" t="s">
        <v>20</v>
      </c>
      <c r="E40" s="11" t="s">
        <v>20</v>
      </c>
      <c r="F40" s="3"/>
      <c r="G40" s="3"/>
      <c r="H40" s="3"/>
      <c r="I40" s="9" t="s">
        <v>30</v>
      </c>
      <c r="J40" s="9" t="s">
        <v>71</v>
      </c>
      <c r="K40" s="9">
        <v>0.1</v>
      </c>
      <c r="L40" s="9" t="s">
        <v>35</v>
      </c>
    </row>
    <row r="41" ht="45.0" customHeight="1">
      <c r="A41" s="10" t="s">
        <v>146</v>
      </c>
      <c r="B41" s="10" t="s">
        <v>72</v>
      </c>
      <c r="C41" s="10" t="s">
        <v>73</v>
      </c>
      <c r="D41" s="10" t="s">
        <v>20</v>
      </c>
      <c r="E41" s="11" t="s">
        <v>20</v>
      </c>
      <c r="F41" s="3"/>
      <c r="G41" s="3"/>
      <c r="H41" s="3"/>
      <c r="I41" s="9" t="s">
        <v>30</v>
      </c>
      <c r="J41" s="9" t="s">
        <v>74</v>
      </c>
      <c r="K41" s="9">
        <v>0.1</v>
      </c>
      <c r="L41" s="9" t="s">
        <v>35</v>
      </c>
    </row>
    <row r="42" ht="168.75" customHeight="1">
      <c r="A42" s="4" t="s">
        <v>159</v>
      </c>
      <c r="B42" s="5" t="s">
        <v>15</v>
      </c>
      <c r="C42" s="5" t="s">
        <v>19</v>
      </c>
      <c r="D42" s="5" t="s">
        <v>20</v>
      </c>
      <c r="E42" s="7" t="s">
        <v>24</v>
      </c>
      <c r="F42" s="7" t="s">
        <v>81</v>
      </c>
      <c r="G42" s="8"/>
      <c r="H42" s="8"/>
      <c r="I42" s="9" t="s">
        <v>30</v>
      </c>
      <c r="J42" s="9" t="s">
        <v>33</v>
      </c>
      <c r="K42" s="9">
        <v>0.1</v>
      </c>
      <c r="L42" s="9" t="s">
        <v>35</v>
      </c>
    </row>
    <row r="43" ht="169.5" customHeight="1">
      <c r="A43" s="10" t="s">
        <v>159</v>
      </c>
      <c r="B43" s="10" t="s">
        <v>37</v>
      </c>
      <c r="C43" s="10" t="s">
        <v>38</v>
      </c>
      <c r="D43" s="10" t="s">
        <v>20</v>
      </c>
      <c r="E43" s="11" t="s">
        <v>20</v>
      </c>
      <c r="F43" s="3"/>
      <c r="G43" s="3"/>
      <c r="H43" s="3"/>
      <c r="I43" s="9" t="s">
        <v>30</v>
      </c>
      <c r="J43" s="9" t="s">
        <v>41</v>
      </c>
      <c r="K43" s="9">
        <v>0.1</v>
      </c>
      <c r="L43" s="9" t="s">
        <v>35</v>
      </c>
    </row>
    <row r="44" ht="337.5" customHeight="1">
      <c r="A44" s="10" t="s">
        <v>159</v>
      </c>
      <c r="B44" s="10" t="s">
        <v>42</v>
      </c>
      <c r="C44" s="10" t="s">
        <v>44</v>
      </c>
      <c r="D44" s="10" t="s">
        <v>45</v>
      </c>
      <c r="E44" s="11" t="s">
        <v>48</v>
      </c>
      <c r="F44" s="3"/>
      <c r="G44" s="3"/>
      <c r="H44" s="11" t="s">
        <v>50</v>
      </c>
      <c r="I44" s="9" t="s">
        <v>30</v>
      </c>
      <c r="J44" s="9" t="s">
        <v>49</v>
      </c>
      <c r="K44" s="9">
        <v>0.1</v>
      </c>
      <c r="L44" s="9" t="s">
        <v>35</v>
      </c>
    </row>
    <row r="45" ht="45.0" customHeight="1">
      <c r="A45" s="10" t="s">
        <v>159</v>
      </c>
      <c r="B45" s="10" t="s">
        <v>53</v>
      </c>
      <c r="C45" s="10" t="s">
        <v>54</v>
      </c>
      <c r="D45" s="10" t="s">
        <v>20</v>
      </c>
      <c r="E45" s="11" t="s">
        <v>24</v>
      </c>
      <c r="F45" s="11" t="s">
        <v>81</v>
      </c>
      <c r="G45" s="3"/>
      <c r="H45" s="3"/>
      <c r="I45" s="9" t="s">
        <v>30</v>
      </c>
      <c r="J45" s="9" t="s">
        <v>57</v>
      </c>
      <c r="K45" s="9">
        <v>0.1</v>
      </c>
      <c r="L45" s="9" t="s">
        <v>35</v>
      </c>
    </row>
    <row r="46" ht="45.0" customHeight="1">
      <c r="A46" s="10" t="s">
        <v>159</v>
      </c>
      <c r="B46" s="10" t="s">
        <v>59</v>
      </c>
      <c r="C46" s="10" t="s">
        <v>61</v>
      </c>
      <c r="D46" s="10" t="s">
        <v>20</v>
      </c>
      <c r="E46" s="11" t="s">
        <v>20</v>
      </c>
      <c r="F46" s="3"/>
      <c r="G46" s="3"/>
      <c r="H46" s="3"/>
      <c r="I46" s="9" t="s">
        <v>30</v>
      </c>
      <c r="J46" s="9" t="s">
        <v>65</v>
      </c>
      <c r="K46" s="9">
        <v>0.1</v>
      </c>
      <c r="L46" s="9" t="s">
        <v>35</v>
      </c>
    </row>
    <row r="47" ht="45.0" customHeight="1">
      <c r="A47" s="10" t="s">
        <v>159</v>
      </c>
      <c r="B47" s="10" t="s">
        <v>66</v>
      </c>
      <c r="C47" s="10" t="s">
        <v>67</v>
      </c>
      <c r="D47" s="10" t="s">
        <v>20</v>
      </c>
      <c r="E47" s="11" t="s">
        <v>20</v>
      </c>
      <c r="F47" s="3"/>
      <c r="G47" s="3"/>
      <c r="H47" s="3"/>
      <c r="I47" s="9" t="s">
        <v>30</v>
      </c>
      <c r="J47" s="9" t="s">
        <v>68</v>
      </c>
      <c r="K47" s="9">
        <v>0.1</v>
      </c>
      <c r="L47" s="9" t="s">
        <v>35</v>
      </c>
    </row>
    <row r="48" ht="45.0" customHeight="1">
      <c r="A48" s="10" t="s">
        <v>159</v>
      </c>
      <c r="B48" s="10" t="s">
        <v>69</v>
      </c>
      <c r="C48" s="10" t="s">
        <v>70</v>
      </c>
      <c r="D48" s="10" t="s">
        <v>20</v>
      </c>
      <c r="E48" s="11" t="s">
        <v>20</v>
      </c>
      <c r="F48" s="3"/>
      <c r="G48" s="3"/>
      <c r="H48" s="3"/>
      <c r="I48" s="9" t="s">
        <v>30</v>
      </c>
      <c r="J48" s="9" t="s">
        <v>71</v>
      </c>
      <c r="K48" s="9">
        <v>0.1</v>
      </c>
      <c r="L48" s="9" t="s">
        <v>35</v>
      </c>
    </row>
    <row r="49" ht="45.0" customHeight="1">
      <c r="A49" s="10" t="s">
        <v>159</v>
      </c>
      <c r="B49" s="10" t="s">
        <v>72</v>
      </c>
      <c r="C49" s="10" t="s">
        <v>73</v>
      </c>
      <c r="D49" s="10" t="s">
        <v>20</v>
      </c>
      <c r="E49" s="11" t="s">
        <v>20</v>
      </c>
      <c r="F49" s="3"/>
      <c r="G49" s="3"/>
      <c r="H49" s="3"/>
      <c r="I49" s="9" t="s">
        <v>30</v>
      </c>
      <c r="J49" s="9" t="s">
        <v>74</v>
      </c>
      <c r="K49" s="9">
        <v>0.1</v>
      </c>
      <c r="L49" s="9" t="s">
        <v>35</v>
      </c>
    </row>
    <row r="50" ht="168.75" customHeight="1">
      <c r="A50" s="4" t="s">
        <v>172</v>
      </c>
      <c r="B50" s="5" t="s">
        <v>15</v>
      </c>
      <c r="C50" s="5" t="s">
        <v>19</v>
      </c>
      <c r="D50" s="5" t="s">
        <v>20</v>
      </c>
      <c r="E50" s="7" t="s">
        <v>24</v>
      </c>
      <c r="F50" s="7" t="s">
        <v>173</v>
      </c>
      <c r="G50" s="8"/>
      <c r="H50" s="8"/>
      <c r="I50" s="9" t="s">
        <v>30</v>
      </c>
      <c r="J50" s="9" t="s">
        <v>33</v>
      </c>
      <c r="K50" s="9">
        <v>0.1</v>
      </c>
      <c r="L50" s="9" t="s">
        <v>35</v>
      </c>
    </row>
    <row r="51" ht="169.5" customHeight="1">
      <c r="A51" s="10" t="s">
        <v>172</v>
      </c>
      <c r="B51" s="10" t="s">
        <v>37</v>
      </c>
      <c r="C51" s="10" t="s">
        <v>38</v>
      </c>
      <c r="D51" s="10" t="s">
        <v>20</v>
      </c>
      <c r="E51" s="11" t="s">
        <v>20</v>
      </c>
      <c r="F51" s="3"/>
      <c r="G51" s="3"/>
      <c r="H51" s="3"/>
      <c r="I51" s="9" t="s">
        <v>30</v>
      </c>
      <c r="J51" s="9" t="s">
        <v>41</v>
      </c>
      <c r="K51" s="9">
        <v>0.1</v>
      </c>
      <c r="L51" s="9" t="s">
        <v>35</v>
      </c>
    </row>
    <row r="52" ht="337.5" customHeight="1">
      <c r="A52" s="10" t="s">
        <v>172</v>
      </c>
      <c r="B52" s="10" t="s">
        <v>42</v>
      </c>
      <c r="C52" s="10" t="s">
        <v>44</v>
      </c>
      <c r="D52" s="10" t="s">
        <v>45</v>
      </c>
      <c r="E52" s="11" t="s">
        <v>48</v>
      </c>
      <c r="F52" s="3"/>
      <c r="G52" s="3"/>
      <c r="H52" s="11" t="s">
        <v>50</v>
      </c>
      <c r="I52" s="9" t="s">
        <v>30</v>
      </c>
      <c r="J52" s="9" t="s">
        <v>49</v>
      </c>
      <c r="K52" s="9">
        <v>0.1</v>
      </c>
      <c r="L52" s="9" t="s">
        <v>35</v>
      </c>
    </row>
    <row r="53" ht="45.0" customHeight="1">
      <c r="A53" s="10" t="s">
        <v>172</v>
      </c>
      <c r="B53" s="10" t="s">
        <v>53</v>
      </c>
      <c r="C53" s="10" t="s">
        <v>54</v>
      </c>
      <c r="D53" s="10" t="s">
        <v>20</v>
      </c>
      <c r="E53" s="11" t="s">
        <v>24</v>
      </c>
      <c r="F53" s="11" t="s">
        <v>173</v>
      </c>
      <c r="G53" s="3"/>
      <c r="H53" s="3"/>
      <c r="I53" s="9" t="s">
        <v>30</v>
      </c>
      <c r="J53" s="9" t="s">
        <v>57</v>
      </c>
      <c r="K53" s="9">
        <v>0.1</v>
      </c>
      <c r="L53" s="9" t="s">
        <v>35</v>
      </c>
    </row>
    <row r="54" ht="45.0" customHeight="1">
      <c r="A54" s="10" t="s">
        <v>172</v>
      </c>
      <c r="B54" s="10" t="s">
        <v>59</v>
      </c>
      <c r="C54" s="10" t="s">
        <v>61</v>
      </c>
      <c r="D54" s="10" t="s">
        <v>20</v>
      </c>
      <c r="E54" s="11" t="s">
        <v>20</v>
      </c>
      <c r="F54" s="3"/>
      <c r="G54" s="3"/>
      <c r="H54" s="3"/>
      <c r="I54" s="9" t="s">
        <v>30</v>
      </c>
      <c r="J54" s="9" t="s">
        <v>65</v>
      </c>
      <c r="K54" s="9">
        <v>0.1</v>
      </c>
      <c r="L54" s="9" t="s">
        <v>35</v>
      </c>
    </row>
    <row r="55" ht="45.0" customHeight="1">
      <c r="A55" s="10" t="s">
        <v>172</v>
      </c>
      <c r="B55" s="10" t="s">
        <v>66</v>
      </c>
      <c r="C55" s="10" t="s">
        <v>67</v>
      </c>
      <c r="D55" s="10" t="s">
        <v>20</v>
      </c>
      <c r="E55" s="11" t="s">
        <v>20</v>
      </c>
      <c r="F55" s="3"/>
      <c r="G55" s="3"/>
      <c r="H55" s="3"/>
      <c r="I55" s="9" t="s">
        <v>30</v>
      </c>
      <c r="J55" s="9" t="s">
        <v>68</v>
      </c>
      <c r="K55" s="9">
        <v>0.1</v>
      </c>
      <c r="L55" s="9" t="s">
        <v>35</v>
      </c>
    </row>
    <row r="56" ht="45.0" customHeight="1">
      <c r="A56" s="10" t="s">
        <v>172</v>
      </c>
      <c r="B56" s="10" t="s">
        <v>69</v>
      </c>
      <c r="C56" s="10" t="s">
        <v>70</v>
      </c>
      <c r="D56" s="10" t="s">
        <v>20</v>
      </c>
      <c r="E56" s="11" t="s">
        <v>20</v>
      </c>
      <c r="F56" s="3"/>
      <c r="G56" s="3"/>
      <c r="H56" s="3"/>
      <c r="I56" s="9" t="s">
        <v>30</v>
      </c>
      <c r="J56" s="9" t="s">
        <v>71</v>
      </c>
      <c r="K56" s="9">
        <v>0.1</v>
      </c>
      <c r="L56" s="9" t="s">
        <v>35</v>
      </c>
    </row>
    <row r="57" ht="45.0" customHeight="1">
      <c r="A57" s="10" t="s">
        <v>172</v>
      </c>
      <c r="B57" s="10" t="s">
        <v>72</v>
      </c>
      <c r="C57" s="10" t="s">
        <v>73</v>
      </c>
      <c r="D57" s="10" t="s">
        <v>20</v>
      </c>
      <c r="E57" s="11" t="s">
        <v>20</v>
      </c>
      <c r="F57" s="3"/>
      <c r="G57" s="3"/>
      <c r="H57" s="3"/>
      <c r="I57" s="9" t="s">
        <v>30</v>
      </c>
      <c r="J57" s="9" t="s">
        <v>74</v>
      </c>
      <c r="K57" s="9">
        <v>0.1</v>
      </c>
      <c r="L57" s="9" t="s">
        <v>35</v>
      </c>
    </row>
    <row r="58" ht="168.75" customHeight="1">
      <c r="A58" s="4" t="s">
        <v>193</v>
      </c>
      <c r="B58" s="5" t="s">
        <v>15</v>
      </c>
      <c r="C58" s="5" t="s">
        <v>19</v>
      </c>
      <c r="D58" s="5" t="s">
        <v>20</v>
      </c>
      <c r="E58" s="7" t="s">
        <v>24</v>
      </c>
      <c r="F58" s="7" t="s">
        <v>196</v>
      </c>
      <c r="G58" s="8"/>
      <c r="H58" s="8"/>
      <c r="I58" s="9" t="s">
        <v>30</v>
      </c>
      <c r="J58" s="9" t="s">
        <v>33</v>
      </c>
      <c r="K58" s="9">
        <v>0.1</v>
      </c>
      <c r="L58" s="9" t="s">
        <v>35</v>
      </c>
    </row>
    <row r="59" ht="169.5" customHeight="1">
      <c r="A59" s="10" t="s">
        <v>193</v>
      </c>
      <c r="B59" s="10" t="s">
        <v>37</v>
      </c>
      <c r="C59" s="10" t="s">
        <v>38</v>
      </c>
      <c r="D59" s="10" t="s">
        <v>20</v>
      </c>
      <c r="E59" s="11" t="s">
        <v>20</v>
      </c>
      <c r="F59" s="3"/>
      <c r="G59" s="3"/>
      <c r="H59" s="3"/>
      <c r="I59" s="9" t="s">
        <v>30</v>
      </c>
      <c r="J59" s="9" t="s">
        <v>41</v>
      </c>
      <c r="K59" s="9">
        <v>0.1</v>
      </c>
      <c r="L59" s="9" t="s">
        <v>35</v>
      </c>
    </row>
    <row r="60" ht="337.5" customHeight="1">
      <c r="A60" s="10" t="s">
        <v>193</v>
      </c>
      <c r="B60" s="10" t="s">
        <v>42</v>
      </c>
      <c r="C60" s="10" t="s">
        <v>44</v>
      </c>
      <c r="D60" s="10" t="s">
        <v>45</v>
      </c>
      <c r="E60" s="11" t="s">
        <v>48</v>
      </c>
      <c r="F60" s="3"/>
      <c r="G60" s="3"/>
      <c r="H60" s="11" t="s">
        <v>50</v>
      </c>
      <c r="I60" s="9" t="s">
        <v>30</v>
      </c>
      <c r="J60" s="9" t="s">
        <v>49</v>
      </c>
      <c r="K60" s="9">
        <v>0.1</v>
      </c>
      <c r="L60" s="9" t="s">
        <v>35</v>
      </c>
    </row>
    <row r="61" ht="45.0" customHeight="1">
      <c r="A61" s="10" t="s">
        <v>193</v>
      </c>
      <c r="B61" s="10" t="s">
        <v>53</v>
      </c>
      <c r="C61" s="10" t="s">
        <v>54</v>
      </c>
      <c r="D61" s="10" t="s">
        <v>20</v>
      </c>
      <c r="E61" s="11" t="s">
        <v>24</v>
      </c>
      <c r="F61" s="11" t="s">
        <v>198</v>
      </c>
      <c r="G61" s="3"/>
      <c r="H61" s="3"/>
      <c r="I61" s="9" t="s">
        <v>30</v>
      </c>
      <c r="J61" s="9" t="s">
        <v>57</v>
      </c>
      <c r="K61" s="9">
        <v>0.1</v>
      </c>
      <c r="L61" s="9" t="s">
        <v>35</v>
      </c>
    </row>
    <row r="62" ht="45.0" customHeight="1">
      <c r="A62" s="10" t="s">
        <v>193</v>
      </c>
      <c r="B62" s="10" t="s">
        <v>59</v>
      </c>
      <c r="C62" s="10" t="s">
        <v>61</v>
      </c>
      <c r="D62" s="10" t="s">
        <v>20</v>
      </c>
      <c r="E62" s="11" t="s">
        <v>20</v>
      </c>
      <c r="F62" s="3"/>
      <c r="G62" s="3"/>
      <c r="H62" s="3"/>
      <c r="I62" s="9" t="s">
        <v>30</v>
      </c>
      <c r="J62" s="9" t="s">
        <v>65</v>
      </c>
      <c r="K62" s="9">
        <v>0.1</v>
      </c>
      <c r="L62" s="9" t="s">
        <v>35</v>
      </c>
    </row>
    <row r="63" ht="45.0" customHeight="1">
      <c r="A63" s="10" t="s">
        <v>193</v>
      </c>
      <c r="B63" s="10" t="s">
        <v>66</v>
      </c>
      <c r="C63" s="10" t="s">
        <v>67</v>
      </c>
      <c r="D63" s="10" t="s">
        <v>20</v>
      </c>
      <c r="E63" s="11" t="s">
        <v>20</v>
      </c>
      <c r="F63" s="3"/>
      <c r="G63" s="3"/>
      <c r="H63" s="3"/>
      <c r="I63" s="9" t="s">
        <v>30</v>
      </c>
      <c r="J63" s="9" t="s">
        <v>68</v>
      </c>
      <c r="K63" s="9">
        <v>0.1</v>
      </c>
      <c r="L63" s="9" t="s">
        <v>35</v>
      </c>
    </row>
    <row r="64" ht="45.0" customHeight="1">
      <c r="A64" s="10" t="s">
        <v>193</v>
      </c>
      <c r="B64" s="10" t="s">
        <v>69</v>
      </c>
      <c r="C64" s="10" t="s">
        <v>70</v>
      </c>
      <c r="D64" s="10" t="s">
        <v>20</v>
      </c>
      <c r="E64" s="11" t="s">
        <v>20</v>
      </c>
      <c r="F64" s="3"/>
      <c r="G64" s="3"/>
      <c r="H64" s="3"/>
      <c r="I64" s="9" t="s">
        <v>30</v>
      </c>
      <c r="J64" s="9" t="s">
        <v>71</v>
      </c>
      <c r="K64" s="9">
        <v>0.1</v>
      </c>
      <c r="L64" s="9" t="s">
        <v>35</v>
      </c>
    </row>
    <row r="65" ht="45.0" customHeight="1">
      <c r="A65" s="10" t="s">
        <v>193</v>
      </c>
      <c r="B65" s="10" t="s">
        <v>72</v>
      </c>
      <c r="C65" s="10" t="s">
        <v>73</v>
      </c>
      <c r="D65" s="10" t="s">
        <v>20</v>
      </c>
      <c r="E65" s="11" t="s">
        <v>20</v>
      </c>
      <c r="F65" s="3"/>
      <c r="G65" s="3"/>
      <c r="H65" s="3"/>
      <c r="I65" s="9" t="s">
        <v>30</v>
      </c>
      <c r="J65" s="9" t="s">
        <v>74</v>
      </c>
      <c r="K65" s="9">
        <v>0.1</v>
      </c>
      <c r="L65" s="9" t="s">
        <v>35</v>
      </c>
    </row>
    <row r="66" ht="168.75" customHeight="1">
      <c r="A66" s="4" t="s">
        <v>202</v>
      </c>
      <c r="B66" s="5" t="s">
        <v>15</v>
      </c>
      <c r="C66" s="5" t="s">
        <v>19</v>
      </c>
      <c r="D66" s="5" t="s">
        <v>20</v>
      </c>
      <c r="E66" s="7" t="s">
        <v>24</v>
      </c>
      <c r="F66" s="7" t="s">
        <v>203</v>
      </c>
      <c r="G66" s="8"/>
      <c r="H66" s="8"/>
      <c r="I66" s="9" t="s">
        <v>30</v>
      </c>
      <c r="J66" s="9" t="s">
        <v>33</v>
      </c>
      <c r="K66" s="9">
        <v>0.1</v>
      </c>
      <c r="L66" s="9" t="s">
        <v>35</v>
      </c>
    </row>
    <row r="67" ht="169.5" customHeight="1">
      <c r="A67" s="10" t="s">
        <v>202</v>
      </c>
      <c r="B67" s="10" t="s">
        <v>37</v>
      </c>
      <c r="C67" s="10" t="s">
        <v>38</v>
      </c>
      <c r="D67" s="10" t="s">
        <v>20</v>
      </c>
      <c r="E67" s="11" t="s">
        <v>20</v>
      </c>
      <c r="F67" s="3"/>
      <c r="G67" s="3"/>
      <c r="H67" s="3"/>
      <c r="I67" s="9" t="s">
        <v>30</v>
      </c>
      <c r="J67" s="9" t="s">
        <v>41</v>
      </c>
      <c r="K67" s="9">
        <v>0.1</v>
      </c>
      <c r="L67" s="9" t="s">
        <v>35</v>
      </c>
    </row>
    <row r="68" ht="337.5" customHeight="1">
      <c r="A68" s="10" t="s">
        <v>202</v>
      </c>
      <c r="B68" s="10" t="s">
        <v>42</v>
      </c>
      <c r="C68" s="10" t="s">
        <v>44</v>
      </c>
      <c r="D68" s="10" t="s">
        <v>45</v>
      </c>
      <c r="E68" s="11" t="s">
        <v>48</v>
      </c>
      <c r="F68" s="3"/>
      <c r="G68" s="3"/>
      <c r="H68" s="11" t="s">
        <v>50</v>
      </c>
      <c r="I68" s="9" t="s">
        <v>30</v>
      </c>
      <c r="J68" s="9" t="s">
        <v>49</v>
      </c>
      <c r="K68" s="9">
        <v>0.1</v>
      </c>
      <c r="L68" s="9" t="s">
        <v>35</v>
      </c>
    </row>
    <row r="69" ht="45.0" customHeight="1">
      <c r="A69" s="10" t="s">
        <v>202</v>
      </c>
      <c r="B69" s="10" t="s">
        <v>53</v>
      </c>
      <c r="C69" s="10" t="s">
        <v>54</v>
      </c>
      <c r="D69" s="10" t="s">
        <v>20</v>
      </c>
      <c r="E69" s="11" t="s">
        <v>24</v>
      </c>
      <c r="F69" s="7" t="s">
        <v>203</v>
      </c>
      <c r="G69" s="3"/>
      <c r="H69" s="3"/>
      <c r="I69" s="9" t="s">
        <v>30</v>
      </c>
      <c r="J69" s="9" t="s">
        <v>57</v>
      </c>
      <c r="K69" s="9">
        <v>0.1</v>
      </c>
      <c r="L69" s="9" t="s">
        <v>35</v>
      </c>
    </row>
    <row r="70" ht="45.0" customHeight="1">
      <c r="A70" s="10" t="s">
        <v>202</v>
      </c>
      <c r="B70" s="10" t="s">
        <v>59</v>
      </c>
      <c r="C70" s="10" t="s">
        <v>61</v>
      </c>
      <c r="D70" s="10" t="s">
        <v>20</v>
      </c>
      <c r="E70" s="11" t="s">
        <v>20</v>
      </c>
      <c r="F70" s="3"/>
      <c r="G70" s="3"/>
      <c r="H70" s="3"/>
      <c r="I70" s="9" t="s">
        <v>30</v>
      </c>
      <c r="J70" s="9" t="s">
        <v>65</v>
      </c>
      <c r="K70" s="9">
        <v>0.1</v>
      </c>
      <c r="L70" s="9" t="s">
        <v>35</v>
      </c>
    </row>
    <row r="71" ht="45.0" customHeight="1">
      <c r="A71" s="10" t="s">
        <v>202</v>
      </c>
      <c r="B71" s="10" t="s">
        <v>66</v>
      </c>
      <c r="C71" s="10" t="s">
        <v>67</v>
      </c>
      <c r="D71" s="10" t="s">
        <v>20</v>
      </c>
      <c r="E71" s="11" t="s">
        <v>20</v>
      </c>
      <c r="F71" s="3"/>
      <c r="G71" s="3"/>
      <c r="H71" s="3"/>
      <c r="I71" s="9" t="s">
        <v>30</v>
      </c>
      <c r="J71" s="9" t="s">
        <v>68</v>
      </c>
      <c r="K71" s="9">
        <v>0.1</v>
      </c>
      <c r="L71" s="9" t="s">
        <v>35</v>
      </c>
    </row>
    <row r="72" ht="45.0" customHeight="1">
      <c r="A72" s="10" t="s">
        <v>202</v>
      </c>
      <c r="B72" s="10" t="s">
        <v>69</v>
      </c>
      <c r="C72" s="10" t="s">
        <v>70</v>
      </c>
      <c r="D72" s="10" t="s">
        <v>20</v>
      </c>
      <c r="E72" s="11" t="s">
        <v>20</v>
      </c>
      <c r="F72" s="3"/>
      <c r="G72" s="3"/>
      <c r="H72" s="3"/>
      <c r="I72" s="9" t="s">
        <v>30</v>
      </c>
      <c r="J72" s="9" t="s">
        <v>71</v>
      </c>
      <c r="K72" s="9">
        <v>0.1</v>
      </c>
      <c r="L72" s="9" t="s">
        <v>35</v>
      </c>
    </row>
    <row r="73" ht="45.0" customHeight="1">
      <c r="A73" s="10" t="s">
        <v>202</v>
      </c>
      <c r="B73" s="10" t="s">
        <v>72</v>
      </c>
      <c r="C73" s="10" t="s">
        <v>73</v>
      </c>
      <c r="D73" s="10" t="s">
        <v>20</v>
      </c>
      <c r="E73" s="11" t="s">
        <v>20</v>
      </c>
      <c r="F73" s="3"/>
      <c r="G73" s="3"/>
      <c r="H73" s="3"/>
      <c r="I73" s="9" t="s">
        <v>30</v>
      </c>
      <c r="J73" s="9" t="s">
        <v>74</v>
      </c>
      <c r="K73" s="9">
        <v>0.1</v>
      </c>
      <c r="L73" s="9" t="s">
        <v>35</v>
      </c>
    </row>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E2:H73">
    <cfRule type="expression" dxfId="0" priority="1">
      <formula>OR(AND($E2="yes",$F2=""),AND(OR($G2="unsure",LEFT($E2,13)="doesn't apply"),$H2=""),AND($F2&lt;&gt;"",$E2&lt;&gt;"yes"))</formula>
    </cfRule>
  </conditionalFormatting>
  <conditionalFormatting sqref="E2:E73">
    <cfRule type="expression" dxfId="1" priority="2">
      <formula>$E2=""</formula>
    </cfRule>
  </conditionalFormatting>
  <dataValidations>
    <dataValidation type="list" allowBlank="1" showErrorMessage="1" sqref="E2:E3 E5:E11 E13:E19 E21:E27 E29:E35 E37:E43 E45:E51 E53:E59 E61:E67 E69:E73">
      <formula1>"yes,no"</formula1>
    </dataValidation>
    <dataValidation type="list" allowBlank="1" showErrorMessage="1" sqref="G2:G73">
      <formula1>"unsure"</formula1>
    </dataValidation>
    <dataValidation type="list" allowBlank="1" showErrorMessage="1" sqref="E4 E12 E20 E28 E36 E44 E52 E60 E68">
      <formula1>"yes,no,doesn't apply: the reply gives no advice"</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0.0"/>
    <col customWidth="1" min="3" max="3" width="88.0"/>
    <col customWidth="1" min="4" max="4" width="30.0"/>
    <col customWidth="1" min="5" max="5" width="26.0"/>
    <col customWidth="1" min="6" max="6" width="46.0"/>
    <col customWidth="1" min="7" max="7" width="16.0"/>
    <col customWidth="1" min="8" max="8" width="40.0"/>
    <col customWidth="1" hidden="1" min="9" max="9" width="10.0"/>
    <col customWidth="1" hidden="1" min="10" max="10" width="12.0"/>
    <col customWidth="1" hidden="1" min="11" max="12" width="10.0"/>
    <col customWidth="1" min="13" max="26" width="8.71"/>
  </cols>
  <sheetData>
    <row r="1" ht="48.0" customHeight="1">
      <c r="A1" s="1" t="s">
        <v>0</v>
      </c>
      <c r="B1" s="1" t="s">
        <v>2</v>
      </c>
      <c r="C1" s="1" t="s">
        <v>3</v>
      </c>
      <c r="D1" s="1" t="s">
        <v>4</v>
      </c>
      <c r="E1" s="1" t="s">
        <v>5</v>
      </c>
      <c r="F1" s="1" t="s">
        <v>6</v>
      </c>
      <c r="G1" s="1" t="s">
        <v>7</v>
      </c>
      <c r="H1" s="1" t="s">
        <v>8</v>
      </c>
      <c r="I1" s="1" t="s">
        <v>9</v>
      </c>
      <c r="J1" s="1" t="s">
        <v>10</v>
      </c>
      <c r="K1" s="1" t="s">
        <v>11</v>
      </c>
      <c r="L1" s="1" t="s">
        <v>12</v>
      </c>
    </row>
    <row r="2" ht="168.75" customHeight="1">
      <c r="A2" s="4" t="s">
        <v>17</v>
      </c>
      <c r="B2" s="5" t="s">
        <v>15</v>
      </c>
      <c r="C2" s="5" t="s">
        <v>19</v>
      </c>
      <c r="D2" s="5" t="s">
        <v>20</v>
      </c>
      <c r="E2" s="7" t="s">
        <v>24</v>
      </c>
      <c r="F2" s="7" t="s">
        <v>28</v>
      </c>
      <c r="G2" s="8"/>
      <c r="H2" s="8"/>
      <c r="I2" s="9" t="s">
        <v>32</v>
      </c>
      <c r="J2" s="9" t="s">
        <v>33</v>
      </c>
      <c r="K2" s="9">
        <v>0.1</v>
      </c>
      <c r="L2" s="9" t="s">
        <v>35</v>
      </c>
    </row>
    <row r="3" ht="169.5" customHeight="1">
      <c r="A3" s="10" t="s">
        <v>17</v>
      </c>
      <c r="B3" s="10" t="s">
        <v>37</v>
      </c>
      <c r="C3" s="10" t="s">
        <v>38</v>
      </c>
      <c r="D3" s="10" t="s">
        <v>20</v>
      </c>
      <c r="E3" s="11" t="s">
        <v>20</v>
      </c>
      <c r="F3" s="3"/>
      <c r="G3" s="3"/>
      <c r="H3" s="3"/>
      <c r="I3" s="9" t="s">
        <v>32</v>
      </c>
      <c r="J3" s="9" t="s">
        <v>41</v>
      </c>
      <c r="K3" s="9">
        <v>0.1</v>
      </c>
      <c r="L3" s="9" t="s">
        <v>35</v>
      </c>
    </row>
    <row r="4" ht="337.5" customHeight="1">
      <c r="A4" s="10" t="s">
        <v>17</v>
      </c>
      <c r="B4" s="10" t="s">
        <v>42</v>
      </c>
      <c r="C4" s="10" t="s">
        <v>44</v>
      </c>
      <c r="D4" s="10" t="s">
        <v>45</v>
      </c>
      <c r="E4" s="11" t="s">
        <v>24</v>
      </c>
      <c r="F4" s="11" t="s">
        <v>46</v>
      </c>
      <c r="G4" s="3"/>
      <c r="H4" s="3"/>
      <c r="I4" s="9" t="s">
        <v>32</v>
      </c>
      <c r="J4" s="9" t="s">
        <v>49</v>
      </c>
      <c r="K4" s="9">
        <v>0.1</v>
      </c>
      <c r="L4" s="9" t="s">
        <v>35</v>
      </c>
    </row>
    <row r="5" ht="180.75" customHeight="1">
      <c r="A5" s="10" t="s">
        <v>17</v>
      </c>
      <c r="B5" s="10" t="s">
        <v>51</v>
      </c>
      <c r="C5" s="10" t="s">
        <v>52</v>
      </c>
      <c r="D5" s="10" t="s">
        <v>20</v>
      </c>
      <c r="E5" s="11" t="s">
        <v>24</v>
      </c>
      <c r="F5" s="11" t="s">
        <v>56</v>
      </c>
      <c r="G5" s="3"/>
      <c r="H5" s="3"/>
      <c r="I5" s="9" t="s">
        <v>32</v>
      </c>
      <c r="J5" s="9" t="s">
        <v>58</v>
      </c>
      <c r="K5" s="9">
        <v>0.1</v>
      </c>
      <c r="L5" s="9" t="s">
        <v>35</v>
      </c>
    </row>
    <row r="6" ht="51.75" customHeight="1">
      <c r="A6" s="10" t="s">
        <v>17</v>
      </c>
      <c r="B6" s="10" t="s">
        <v>60</v>
      </c>
      <c r="C6" s="10" t="s">
        <v>62</v>
      </c>
      <c r="D6" s="12" t="s">
        <v>64</v>
      </c>
      <c r="E6" s="11" t="s">
        <v>20</v>
      </c>
      <c r="F6" s="3"/>
      <c r="G6" s="3"/>
      <c r="H6" s="11" t="s">
        <v>75</v>
      </c>
      <c r="I6" s="9" t="s">
        <v>32</v>
      </c>
      <c r="J6" s="9" t="s">
        <v>77</v>
      </c>
      <c r="K6" s="9">
        <v>0.1</v>
      </c>
      <c r="L6" s="9" t="s">
        <v>35</v>
      </c>
    </row>
    <row r="7" ht="45.0" customHeight="1">
      <c r="A7" s="10" t="s">
        <v>17</v>
      </c>
      <c r="B7" s="10" t="s">
        <v>78</v>
      </c>
      <c r="C7" s="10" t="s">
        <v>79</v>
      </c>
      <c r="D7" s="10" t="s">
        <v>20</v>
      </c>
      <c r="E7" s="11" t="s">
        <v>24</v>
      </c>
      <c r="F7" s="11" t="s">
        <v>80</v>
      </c>
      <c r="G7" s="3"/>
      <c r="H7" s="3"/>
      <c r="I7" s="9" t="s">
        <v>32</v>
      </c>
      <c r="J7" s="9" t="s">
        <v>82</v>
      </c>
      <c r="K7" s="9">
        <v>0.1</v>
      </c>
      <c r="L7" s="9" t="s">
        <v>35</v>
      </c>
    </row>
    <row r="8" ht="54.0" customHeight="1">
      <c r="A8" s="10" t="s">
        <v>17</v>
      </c>
      <c r="B8" s="10" t="s">
        <v>84</v>
      </c>
      <c r="C8" s="10" t="s">
        <v>87</v>
      </c>
      <c r="D8" s="10" t="s">
        <v>20</v>
      </c>
      <c r="E8" s="11" t="s">
        <v>20</v>
      </c>
      <c r="F8" s="3"/>
      <c r="G8" s="3"/>
      <c r="H8" s="3"/>
      <c r="I8" s="9" t="s">
        <v>32</v>
      </c>
      <c r="J8" s="9" t="s">
        <v>91</v>
      </c>
      <c r="K8" s="9">
        <v>0.1</v>
      </c>
      <c r="L8" s="9" t="s">
        <v>35</v>
      </c>
    </row>
    <row r="9" ht="45.0" customHeight="1">
      <c r="A9" s="10" t="s">
        <v>17</v>
      </c>
      <c r="B9" s="10" t="s">
        <v>95</v>
      </c>
      <c r="C9" s="10" t="s">
        <v>96</v>
      </c>
      <c r="D9" s="10" t="s">
        <v>20</v>
      </c>
      <c r="E9" s="11" t="s">
        <v>20</v>
      </c>
      <c r="F9" s="3"/>
      <c r="G9" s="3"/>
      <c r="H9" s="3"/>
      <c r="I9" s="9" t="s">
        <v>32</v>
      </c>
      <c r="J9" s="9" t="s">
        <v>99</v>
      </c>
      <c r="K9" s="9">
        <v>0.1</v>
      </c>
      <c r="L9" s="9" t="s">
        <v>35</v>
      </c>
    </row>
    <row r="10" ht="45.0" customHeight="1">
      <c r="A10" s="10" t="s">
        <v>17</v>
      </c>
      <c r="B10" s="10" t="s">
        <v>101</v>
      </c>
      <c r="C10" s="10" t="s">
        <v>102</v>
      </c>
      <c r="D10" s="10" t="s">
        <v>20</v>
      </c>
      <c r="E10" s="11" t="s">
        <v>20</v>
      </c>
      <c r="F10" s="3"/>
      <c r="G10" s="3"/>
      <c r="H10" s="3"/>
      <c r="I10" s="9" t="s">
        <v>32</v>
      </c>
      <c r="J10" s="9" t="s">
        <v>105</v>
      </c>
      <c r="K10" s="9">
        <v>0.1</v>
      </c>
      <c r="L10" s="9" t="s">
        <v>35</v>
      </c>
    </row>
    <row r="11" ht="168.75" customHeight="1">
      <c r="A11" s="4" t="s">
        <v>107</v>
      </c>
      <c r="B11" s="5" t="s">
        <v>15</v>
      </c>
      <c r="C11" s="5" t="s">
        <v>19</v>
      </c>
      <c r="D11" s="5" t="s">
        <v>20</v>
      </c>
      <c r="E11" s="7" t="s">
        <v>20</v>
      </c>
      <c r="F11" s="8"/>
      <c r="G11" s="8"/>
      <c r="H11" s="8"/>
      <c r="I11" s="9" t="s">
        <v>32</v>
      </c>
      <c r="J11" s="9" t="s">
        <v>33</v>
      </c>
      <c r="K11" s="9">
        <v>0.1</v>
      </c>
      <c r="L11" s="9" t="s">
        <v>35</v>
      </c>
    </row>
    <row r="12" ht="169.5" customHeight="1">
      <c r="A12" s="10" t="s">
        <v>107</v>
      </c>
      <c r="B12" s="10" t="s">
        <v>37</v>
      </c>
      <c r="C12" s="10" t="s">
        <v>38</v>
      </c>
      <c r="D12" s="10" t="s">
        <v>20</v>
      </c>
      <c r="E12" s="11" t="s">
        <v>20</v>
      </c>
      <c r="F12" s="3"/>
      <c r="G12" s="3"/>
      <c r="H12" s="3"/>
      <c r="I12" s="9" t="s">
        <v>32</v>
      </c>
      <c r="J12" s="9" t="s">
        <v>41</v>
      </c>
      <c r="K12" s="9">
        <v>0.1</v>
      </c>
      <c r="L12" s="9" t="s">
        <v>35</v>
      </c>
    </row>
    <row r="13" ht="337.5" customHeight="1">
      <c r="A13" s="10" t="s">
        <v>107</v>
      </c>
      <c r="B13" s="10" t="s">
        <v>42</v>
      </c>
      <c r="C13" s="10" t="s">
        <v>44</v>
      </c>
      <c r="D13" s="10" t="s">
        <v>45</v>
      </c>
      <c r="E13" s="11" t="s">
        <v>24</v>
      </c>
      <c r="F13" s="11" t="s">
        <v>118</v>
      </c>
      <c r="G13" s="3"/>
      <c r="H13" s="3"/>
      <c r="I13" s="9" t="s">
        <v>32</v>
      </c>
      <c r="J13" s="9" t="s">
        <v>49</v>
      </c>
      <c r="K13" s="9">
        <v>0.1</v>
      </c>
      <c r="L13" s="9" t="s">
        <v>35</v>
      </c>
    </row>
    <row r="14" ht="180.75" customHeight="1">
      <c r="A14" s="10" t="s">
        <v>107</v>
      </c>
      <c r="B14" s="10" t="s">
        <v>51</v>
      </c>
      <c r="C14" s="10" t="s">
        <v>52</v>
      </c>
      <c r="D14" s="10" t="s">
        <v>20</v>
      </c>
      <c r="E14" s="11" t="s">
        <v>24</v>
      </c>
      <c r="F14" s="11" t="s">
        <v>120</v>
      </c>
      <c r="G14" s="3"/>
      <c r="H14" s="3"/>
      <c r="I14" s="9" t="s">
        <v>32</v>
      </c>
      <c r="J14" s="9" t="s">
        <v>58</v>
      </c>
      <c r="K14" s="9">
        <v>0.1</v>
      </c>
      <c r="L14" s="9" t="s">
        <v>35</v>
      </c>
    </row>
    <row r="15" ht="51.75" customHeight="1">
      <c r="A15" s="10" t="s">
        <v>107</v>
      </c>
      <c r="B15" s="10" t="s">
        <v>60</v>
      </c>
      <c r="C15" s="10" t="s">
        <v>62</v>
      </c>
      <c r="D15" s="10" t="s">
        <v>20</v>
      </c>
      <c r="E15" s="11" t="s">
        <v>24</v>
      </c>
      <c r="F15" s="11" t="s">
        <v>121</v>
      </c>
      <c r="G15" s="3"/>
      <c r="H15" s="3"/>
      <c r="I15" s="9" t="s">
        <v>32</v>
      </c>
      <c r="J15" s="9" t="s">
        <v>77</v>
      </c>
      <c r="K15" s="9">
        <v>0.1</v>
      </c>
      <c r="L15" s="9" t="s">
        <v>35</v>
      </c>
    </row>
    <row r="16" ht="45.0" customHeight="1">
      <c r="A16" s="10" t="s">
        <v>107</v>
      </c>
      <c r="B16" s="10" t="s">
        <v>78</v>
      </c>
      <c r="C16" s="10" t="s">
        <v>79</v>
      </c>
      <c r="D16" s="10" t="s">
        <v>20</v>
      </c>
      <c r="E16" s="11" t="s">
        <v>20</v>
      </c>
      <c r="F16" s="3"/>
      <c r="G16" s="3"/>
      <c r="H16" s="3"/>
      <c r="I16" s="9" t="s">
        <v>32</v>
      </c>
      <c r="J16" s="9" t="s">
        <v>82</v>
      </c>
      <c r="K16" s="9">
        <v>0.1</v>
      </c>
      <c r="L16" s="9" t="s">
        <v>35</v>
      </c>
    </row>
    <row r="17" ht="54.0" customHeight="1">
      <c r="A17" s="10" t="s">
        <v>107</v>
      </c>
      <c r="B17" s="10" t="s">
        <v>84</v>
      </c>
      <c r="C17" s="10" t="s">
        <v>87</v>
      </c>
      <c r="D17" s="10" t="s">
        <v>20</v>
      </c>
      <c r="E17" s="11" t="s">
        <v>24</v>
      </c>
      <c r="F17" s="11" t="s">
        <v>123</v>
      </c>
      <c r="G17" s="3"/>
      <c r="H17" s="3"/>
      <c r="I17" s="9" t="s">
        <v>32</v>
      </c>
      <c r="J17" s="9" t="s">
        <v>91</v>
      </c>
      <c r="K17" s="9">
        <v>0.1</v>
      </c>
      <c r="L17" s="9" t="s">
        <v>35</v>
      </c>
    </row>
    <row r="18" ht="45.0" customHeight="1">
      <c r="A18" s="10" t="s">
        <v>107</v>
      </c>
      <c r="B18" s="10" t="s">
        <v>95</v>
      </c>
      <c r="C18" s="10" t="s">
        <v>96</v>
      </c>
      <c r="D18" s="10" t="s">
        <v>20</v>
      </c>
      <c r="E18" s="11" t="s">
        <v>20</v>
      </c>
      <c r="F18" s="3"/>
      <c r="G18" s="3"/>
      <c r="H18" s="3"/>
      <c r="I18" s="9" t="s">
        <v>32</v>
      </c>
      <c r="J18" s="9" t="s">
        <v>99</v>
      </c>
      <c r="K18" s="9">
        <v>0.1</v>
      </c>
      <c r="L18" s="9" t="s">
        <v>35</v>
      </c>
    </row>
    <row r="19" ht="45.0" customHeight="1">
      <c r="A19" s="10" t="s">
        <v>107</v>
      </c>
      <c r="B19" s="10" t="s">
        <v>101</v>
      </c>
      <c r="C19" s="10" t="s">
        <v>102</v>
      </c>
      <c r="D19" s="10" t="s">
        <v>20</v>
      </c>
      <c r="E19" s="11" t="s">
        <v>20</v>
      </c>
      <c r="F19" s="3"/>
      <c r="G19" s="3"/>
      <c r="H19" s="3"/>
      <c r="I19" s="9" t="s">
        <v>32</v>
      </c>
      <c r="J19" s="9" t="s">
        <v>105</v>
      </c>
      <c r="K19" s="9">
        <v>0.1</v>
      </c>
      <c r="L19" s="9" t="s">
        <v>35</v>
      </c>
    </row>
    <row r="20" ht="168.75" customHeight="1">
      <c r="A20" s="4" t="s">
        <v>125</v>
      </c>
      <c r="B20" s="5" t="s">
        <v>15</v>
      </c>
      <c r="C20" s="5" t="s">
        <v>19</v>
      </c>
      <c r="D20" s="5" t="s">
        <v>20</v>
      </c>
      <c r="E20" s="7" t="s">
        <v>24</v>
      </c>
      <c r="F20" s="7" t="s">
        <v>127</v>
      </c>
      <c r="G20" s="8"/>
      <c r="H20" s="8"/>
      <c r="I20" s="9" t="s">
        <v>32</v>
      </c>
      <c r="J20" s="9" t="s">
        <v>33</v>
      </c>
      <c r="K20" s="9">
        <v>0.1</v>
      </c>
      <c r="L20" s="9" t="s">
        <v>35</v>
      </c>
    </row>
    <row r="21" ht="169.5" customHeight="1">
      <c r="A21" s="10" t="s">
        <v>125</v>
      </c>
      <c r="B21" s="10" t="s">
        <v>37</v>
      </c>
      <c r="C21" s="10" t="s">
        <v>38</v>
      </c>
      <c r="D21" s="10" t="s">
        <v>20</v>
      </c>
      <c r="E21" s="11" t="s">
        <v>20</v>
      </c>
      <c r="F21" s="11"/>
      <c r="G21" s="3"/>
      <c r="H21" s="3"/>
      <c r="I21" s="9" t="s">
        <v>32</v>
      </c>
      <c r="J21" s="9" t="s">
        <v>41</v>
      </c>
      <c r="K21" s="9">
        <v>0.1</v>
      </c>
      <c r="L21" s="9" t="s">
        <v>35</v>
      </c>
    </row>
    <row r="22" ht="337.5" customHeight="1">
      <c r="A22" s="10" t="s">
        <v>125</v>
      </c>
      <c r="B22" s="10" t="s">
        <v>42</v>
      </c>
      <c r="C22" s="10" t="s">
        <v>44</v>
      </c>
      <c r="D22" s="10" t="s">
        <v>45</v>
      </c>
      <c r="E22" s="11" t="s">
        <v>24</v>
      </c>
      <c r="F22" s="11" t="s">
        <v>130</v>
      </c>
      <c r="G22" s="3"/>
      <c r="H22" s="3"/>
      <c r="I22" s="9" t="s">
        <v>32</v>
      </c>
      <c r="J22" s="9" t="s">
        <v>49</v>
      </c>
      <c r="K22" s="9">
        <v>0.1</v>
      </c>
      <c r="L22" s="9" t="s">
        <v>35</v>
      </c>
    </row>
    <row r="23" ht="180.75" customHeight="1">
      <c r="A23" s="10" t="s">
        <v>125</v>
      </c>
      <c r="B23" s="10" t="s">
        <v>51</v>
      </c>
      <c r="C23" s="10" t="s">
        <v>52</v>
      </c>
      <c r="D23" s="10" t="s">
        <v>20</v>
      </c>
      <c r="E23" s="11" t="s">
        <v>24</v>
      </c>
      <c r="F23" s="11" t="s">
        <v>132</v>
      </c>
      <c r="G23" s="3"/>
      <c r="H23" s="3"/>
      <c r="I23" s="9" t="s">
        <v>32</v>
      </c>
      <c r="J23" s="9" t="s">
        <v>58</v>
      </c>
      <c r="K23" s="9">
        <v>0.1</v>
      </c>
      <c r="L23" s="9" t="s">
        <v>35</v>
      </c>
    </row>
    <row r="24" ht="51.75" customHeight="1">
      <c r="A24" s="10" t="s">
        <v>125</v>
      </c>
      <c r="B24" s="10" t="s">
        <v>60</v>
      </c>
      <c r="C24" s="10" t="s">
        <v>62</v>
      </c>
      <c r="D24" s="10" t="s">
        <v>20</v>
      </c>
      <c r="E24" s="11" t="s">
        <v>24</v>
      </c>
      <c r="F24" s="11" t="s">
        <v>136</v>
      </c>
      <c r="G24" s="3"/>
      <c r="H24" s="3"/>
      <c r="I24" s="9" t="s">
        <v>32</v>
      </c>
      <c r="J24" s="9" t="s">
        <v>77</v>
      </c>
      <c r="K24" s="9">
        <v>0.1</v>
      </c>
      <c r="L24" s="9" t="s">
        <v>35</v>
      </c>
    </row>
    <row r="25" ht="45.0" customHeight="1">
      <c r="A25" s="10" t="s">
        <v>125</v>
      </c>
      <c r="B25" s="10" t="s">
        <v>78</v>
      </c>
      <c r="C25" s="10" t="s">
        <v>79</v>
      </c>
      <c r="D25" s="10" t="s">
        <v>20</v>
      </c>
      <c r="E25" s="11" t="s">
        <v>20</v>
      </c>
      <c r="F25" s="3"/>
      <c r="G25" s="3"/>
      <c r="H25" s="3"/>
      <c r="I25" s="9" t="s">
        <v>32</v>
      </c>
      <c r="J25" s="9" t="s">
        <v>82</v>
      </c>
      <c r="K25" s="9">
        <v>0.1</v>
      </c>
      <c r="L25" s="9" t="s">
        <v>35</v>
      </c>
    </row>
    <row r="26" ht="54.0" customHeight="1">
      <c r="A26" s="10" t="s">
        <v>125</v>
      </c>
      <c r="B26" s="10" t="s">
        <v>84</v>
      </c>
      <c r="C26" s="10" t="s">
        <v>87</v>
      </c>
      <c r="D26" s="10" t="s">
        <v>20</v>
      </c>
      <c r="E26" s="11" t="s">
        <v>24</v>
      </c>
      <c r="F26" s="11" t="s">
        <v>138</v>
      </c>
      <c r="G26" s="3"/>
      <c r="H26" s="3"/>
      <c r="I26" s="9" t="s">
        <v>32</v>
      </c>
      <c r="J26" s="9" t="s">
        <v>91</v>
      </c>
      <c r="K26" s="9">
        <v>0.1</v>
      </c>
      <c r="L26" s="9" t="s">
        <v>35</v>
      </c>
    </row>
    <row r="27" ht="45.0" customHeight="1">
      <c r="A27" s="10" t="s">
        <v>125</v>
      </c>
      <c r="B27" s="10" t="s">
        <v>95</v>
      </c>
      <c r="C27" s="10" t="s">
        <v>96</v>
      </c>
      <c r="D27" s="10" t="s">
        <v>20</v>
      </c>
      <c r="E27" s="11" t="s">
        <v>20</v>
      </c>
      <c r="F27" s="3"/>
      <c r="G27" s="3"/>
      <c r="H27" s="3"/>
      <c r="I27" s="9" t="s">
        <v>32</v>
      </c>
      <c r="J27" s="9" t="s">
        <v>99</v>
      </c>
      <c r="K27" s="9">
        <v>0.1</v>
      </c>
      <c r="L27" s="9" t="s">
        <v>35</v>
      </c>
    </row>
    <row r="28" ht="45.0" customHeight="1">
      <c r="A28" s="10" t="s">
        <v>125</v>
      </c>
      <c r="B28" s="10" t="s">
        <v>101</v>
      </c>
      <c r="C28" s="10" t="s">
        <v>102</v>
      </c>
      <c r="D28" s="10" t="s">
        <v>20</v>
      </c>
      <c r="E28" s="11" t="s">
        <v>20</v>
      </c>
      <c r="F28" s="3"/>
      <c r="G28" s="3"/>
      <c r="H28" s="3"/>
      <c r="I28" s="9" t="s">
        <v>32</v>
      </c>
      <c r="J28" s="9" t="s">
        <v>105</v>
      </c>
      <c r="K28" s="9">
        <v>0.1</v>
      </c>
      <c r="L28" s="9" t="s">
        <v>35</v>
      </c>
    </row>
    <row r="29" ht="168.75" customHeight="1">
      <c r="A29" s="4" t="s">
        <v>143</v>
      </c>
      <c r="B29" s="5" t="s">
        <v>15</v>
      </c>
      <c r="C29" s="5" t="s">
        <v>19</v>
      </c>
      <c r="D29" s="5" t="s">
        <v>20</v>
      </c>
      <c r="E29" s="7" t="s">
        <v>20</v>
      </c>
      <c r="F29" s="8"/>
      <c r="G29" s="8"/>
      <c r="H29" s="8"/>
      <c r="I29" s="9" t="s">
        <v>32</v>
      </c>
      <c r="J29" s="9" t="s">
        <v>33</v>
      </c>
      <c r="K29" s="9">
        <v>0.1</v>
      </c>
      <c r="L29" s="9" t="s">
        <v>35</v>
      </c>
    </row>
    <row r="30" ht="169.5" customHeight="1">
      <c r="A30" s="10" t="s">
        <v>143</v>
      </c>
      <c r="B30" s="10" t="s">
        <v>37</v>
      </c>
      <c r="C30" s="10" t="s">
        <v>38</v>
      </c>
      <c r="D30" s="10" t="s">
        <v>20</v>
      </c>
      <c r="E30" s="11" t="s">
        <v>20</v>
      </c>
      <c r="F30" s="3"/>
      <c r="G30" s="3"/>
      <c r="H30" s="3"/>
      <c r="I30" s="9" t="s">
        <v>32</v>
      </c>
      <c r="J30" s="9" t="s">
        <v>41</v>
      </c>
      <c r="K30" s="9">
        <v>0.1</v>
      </c>
      <c r="L30" s="9" t="s">
        <v>35</v>
      </c>
    </row>
    <row r="31" ht="337.5" customHeight="1">
      <c r="A31" s="10" t="s">
        <v>143</v>
      </c>
      <c r="B31" s="10" t="s">
        <v>42</v>
      </c>
      <c r="C31" s="10" t="s">
        <v>44</v>
      </c>
      <c r="D31" s="10" t="s">
        <v>45</v>
      </c>
      <c r="E31" s="11" t="s">
        <v>24</v>
      </c>
      <c r="F31" s="11" t="s">
        <v>147</v>
      </c>
      <c r="G31" s="3"/>
      <c r="H31" s="3"/>
      <c r="I31" s="9" t="s">
        <v>32</v>
      </c>
      <c r="J31" s="9" t="s">
        <v>49</v>
      </c>
      <c r="K31" s="9">
        <v>0.1</v>
      </c>
      <c r="L31" s="9" t="s">
        <v>35</v>
      </c>
    </row>
    <row r="32" ht="180.75" customHeight="1">
      <c r="A32" s="10" t="s">
        <v>143</v>
      </c>
      <c r="B32" s="10" t="s">
        <v>51</v>
      </c>
      <c r="C32" s="10" t="s">
        <v>52</v>
      </c>
      <c r="D32" s="10" t="s">
        <v>20</v>
      </c>
      <c r="E32" s="11" t="s">
        <v>24</v>
      </c>
      <c r="F32" s="11" t="s">
        <v>149</v>
      </c>
      <c r="G32" s="3"/>
      <c r="H32" s="3"/>
      <c r="I32" s="9" t="s">
        <v>32</v>
      </c>
      <c r="J32" s="9" t="s">
        <v>58</v>
      </c>
      <c r="K32" s="9">
        <v>0.1</v>
      </c>
      <c r="L32" s="9" t="s">
        <v>35</v>
      </c>
    </row>
    <row r="33" ht="51.75" customHeight="1">
      <c r="A33" s="10" t="s">
        <v>143</v>
      </c>
      <c r="B33" s="10" t="s">
        <v>60</v>
      </c>
      <c r="C33" s="10" t="s">
        <v>62</v>
      </c>
      <c r="D33" s="12" t="s">
        <v>20</v>
      </c>
      <c r="E33" s="11" t="s">
        <v>24</v>
      </c>
      <c r="F33" s="11" t="s">
        <v>151</v>
      </c>
      <c r="G33" s="3"/>
      <c r="H33" s="3"/>
      <c r="I33" s="9" t="s">
        <v>32</v>
      </c>
      <c r="J33" s="9" t="s">
        <v>77</v>
      </c>
      <c r="K33" s="9">
        <v>0.1</v>
      </c>
      <c r="L33" s="9" t="s">
        <v>35</v>
      </c>
    </row>
    <row r="34" ht="45.0" customHeight="1">
      <c r="A34" s="10" t="s">
        <v>143</v>
      </c>
      <c r="B34" s="10" t="s">
        <v>78</v>
      </c>
      <c r="C34" s="10" t="s">
        <v>79</v>
      </c>
      <c r="D34" s="10" t="s">
        <v>20</v>
      </c>
      <c r="E34" s="11" t="s">
        <v>20</v>
      </c>
      <c r="F34" s="3"/>
      <c r="G34" s="3"/>
      <c r="H34" s="3"/>
      <c r="I34" s="9" t="s">
        <v>32</v>
      </c>
      <c r="J34" s="9" t="s">
        <v>82</v>
      </c>
      <c r="K34" s="9">
        <v>0.1</v>
      </c>
      <c r="L34" s="9" t="s">
        <v>35</v>
      </c>
    </row>
    <row r="35" ht="54.0" customHeight="1">
      <c r="A35" s="10" t="s">
        <v>143</v>
      </c>
      <c r="B35" s="10" t="s">
        <v>84</v>
      </c>
      <c r="C35" s="10" t="s">
        <v>87</v>
      </c>
      <c r="D35" s="10" t="s">
        <v>20</v>
      </c>
      <c r="E35" s="11" t="s">
        <v>24</v>
      </c>
      <c r="F35" s="11" t="s">
        <v>156</v>
      </c>
      <c r="G35" s="3"/>
      <c r="H35" s="3"/>
      <c r="I35" s="9" t="s">
        <v>32</v>
      </c>
      <c r="J35" s="9" t="s">
        <v>91</v>
      </c>
      <c r="K35" s="9">
        <v>0.1</v>
      </c>
      <c r="L35" s="9" t="s">
        <v>35</v>
      </c>
    </row>
    <row r="36" ht="45.0" customHeight="1">
      <c r="A36" s="10" t="s">
        <v>143</v>
      </c>
      <c r="B36" s="10" t="s">
        <v>95</v>
      </c>
      <c r="C36" s="10" t="s">
        <v>96</v>
      </c>
      <c r="D36" s="10" t="s">
        <v>20</v>
      </c>
      <c r="E36" s="11" t="s">
        <v>20</v>
      </c>
      <c r="F36" s="3"/>
      <c r="G36" s="3"/>
      <c r="H36" s="3"/>
      <c r="I36" s="9" t="s">
        <v>32</v>
      </c>
      <c r="J36" s="9" t="s">
        <v>99</v>
      </c>
      <c r="K36" s="9">
        <v>0.1</v>
      </c>
      <c r="L36" s="9" t="s">
        <v>35</v>
      </c>
    </row>
    <row r="37" ht="45.0" customHeight="1">
      <c r="A37" s="10" t="s">
        <v>143</v>
      </c>
      <c r="B37" s="10" t="s">
        <v>101</v>
      </c>
      <c r="C37" s="10" t="s">
        <v>102</v>
      </c>
      <c r="D37" s="10" t="s">
        <v>20</v>
      </c>
      <c r="E37" s="11" t="s">
        <v>20</v>
      </c>
      <c r="F37" s="3"/>
      <c r="G37" s="3"/>
      <c r="H37" s="3"/>
      <c r="I37" s="9" t="s">
        <v>32</v>
      </c>
      <c r="J37" s="9" t="s">
        <v>105</v>
      </c>
      <c r="K37" s="9">
        <v>0.1</v>
      </c>
      <c r="L37" s="9" t="s">
        <v>35</v>
      </c>
    </row>
    <row r="38" ht="168.75" customHeight="1">
      <c r="A38" s="4" t="s">
        <v>157</v>
      </c>
      <c r="B38" s="5" t="s">
        <v>15</v>
      </c>
      <c r="C38" s="5" t="s">
        <v>19</v>
      </c>
      <c r="D38" s="5" t="s">
        <v>20</v>
      </c>
      <c r="E38" s="7" t="s">
        <v>20</v>
      </c>
      <c r="F38" s="8"/>
      <c r="G38" s="8"/>
      <c r="H38" s="8"/>
      <c r="I38" s="9" t="s">
        <v>32</v>
      </c>
      <c r="J38" s="9" t="s">
        <v>33</v>
      </c>
      <c r="K38" s="9">
        <v>0.1</v>
      </c>
      <c r="L38" s="9" t="s">
        <v>35</v>
      </c>
    </row>
    <row r="39" ht="169.5" customHeight="1">
      <c r="A39" s="10" t="s">
        <v>157</v>
      </c>
      <c r="B39" s="10" t="s">
        <v>37</v>
      </c>
      <c r="C39" s="10" t="s">
        <v>38</v>
      </c>
      <c r="D39" s="10" t="s">
        <v>20</v>
      </c>
      <c r="E39" s="11" t="s">
        <v>20</v>
      </c>
      <c r="F39" s="3"/>
      <c r="G39" s="3"/>
      <c r="H39" s="3"/>
      <c r="I39" s="9" t="s">
        <v>32</v>
      </c>
      <c r="J39" s="9" t="s">
        <v>41</v>
      </c>
      <c r="K39" s="9">
        <v>0.1</v>
      </c>
      <c r="L39" s="9" t="s">
        <v>35</v>
      </c>
    </row>
    <row r="40" ht="337.5" customHeight="1">
      <c r="A40" s="10" t="s">
        <v>157</v>
      </c>
      <c r="B40" s="10" t="s">
        <v>42</v>
      </c>
      <c r="C40" s="10" t="s">
        <v>44</v>
      </c>
      <c r="D40" s="10" t="s">
        <v>45</v>
      </c>
      <c r="E40" s="11" t="s">
        <v>24</v>
      </c>
      <c r="F40" s="11" t="s">
        <v>161</v>
      </c>
      <c r="G40" s="3"/>
      <c r="H40" s="3"/>
      <c r="I40" s="9" t="s">
        <v>32</v>
      </c>
      <c r="J40" s="9" t="s">
        <v>49</v>
      </c>
      <c r="K40" s="9">
        <v>0.1</v>
      </c>
      <c r="L40" s="9" t="s">
        <v>35</v>
      </c>
    </row>
    <row r="41" ht="180.75" customHeight="1">
      <c r="A41" s="10" t="s">
        <v>157</v>
      </c>
      <c r="B41" s="10" t="s">
        <v>51</v>
      </c>
      <c r="C41" s="10" t="s">
        <v>52</v>
      </c>
      <c r="D41" s="10" t="s">
        <v>20</v>
      </c>
      <c r="E41" s="11" t="s">
        <v>24</v>
      </c>
      <c r="F41" s="11" t="s">
        <v>162</v>
      </c>
      <c r="G41" s="3"/>
      <c r="H41" s="3"/>
      <c r="I41" s="9" t="s">
        <v>32</v>
      </c>
      <c r="J41" s="9" t="s">
        <v>58</v>
      </c>
      <c r="K41" s="9">
        <v>0.1</v>
      </c>
      <c r="L41" s="9" t="s">
        <v>35</v>
      </c>
    </row>
    <row r="42" ht="51.75" customHeight="1">
      <c r="A42" s="10" t="s">
        <v>157</v>
      </c>
      <c r="B42" s="10" t="s">
        <v>60</v>
      </c>
      <c r="C42" s="10" t="s">
        <v>62</v>
      </c>
      <c r="D42" s="10" t="s">
        <v>20</v>
      </c>
      <c r="E42" s="11" t="s">
        <v>24</v>
      </c>
      <c r="F42" s="11" t="s">
        <v>165</v>
      </c>
      <c r="G42" s="3"/>
      <c r="H42" s="3"/>
      <c r="I42" s="9" t="s">
        <v>32</v>
      </c>
      <c r="J42" s="9" t="s">
        <v>77</v>
      </c>
      <c r="K42" s="9">
        <v>0.1</v>
      </c>
      <c r="L42" s="9" t="s">
        <v>35</v>
      </c>
    </row>
    <row r="43" ht="45.0" customHeight="1">
      <c r="A43" s="10" t="s">
        <v>157</v>
      </c>
      <c r="B43" s="10" t="s">
        <v>78</v>
      </c>
      <c r="C43" s="10" t="s">
        <v>79</v>
      </c>
      <c r="D43" s="10" t="s">
        <v>20</v>
      </c>
      <c r="E43" s="11" t="s">
        <v>20</v>
      </c>
      <c r="F43" s="3"/>
      <c r="G43" s="3"/>
      <c r="H43" s="3"/>
      <c r="I43" s="9" t="s">
        <v>32</v>
      </c>
      <c r="J43" s="9" t="s">
        <v>82</v>
      </c>
      <c r="K43" s="9">
        <v>0.1</v>
      </c>
      <c r="L43" s="9" t="s">
        <v>35</v>
      </c>
    </row>
    <row r="44" ht="54.0" customHeight="1">
      <c r="A44" s="10" t="s">
        <v>157</v>
      </c>
      <c r="B44" s="10" t="s">
        <v>84</v>
      </c>
      <c r="C44" s="10" t="s">
        <v>87</v>
      </c>
      <c r="D44" s="10" t="s">
        <v>20</v>
      </c>
      <c r="E44" s="11" t="s">
        <v>20</v>
      </c>
      <c r="F44" s="3"/>
      <c r="G44" s="3"/>
      <c r="H44" s="3"/>
      <c r="I44" s="9" t="s">
        <v>32</v>
      </c>
      <c r="J44" s="9" t="s">
        <v>91</v>
      </c>
      <c r="K44" s="9">
        <v>0.1</v>
      </c>
      <c r="L44" s="9" t="s">
        <v>35</v>
      </c>
    </row>
    <row r="45" ht="45.0" customHeight="1">
      <c r="A45" s="10" t="s">
        <v>157</v>
      </c>
      <c r="B45" s="10" t="s">
        <v>95</v>
      </c>
      <c r="C45" s="10" t="s">
        <v>96</v>
      </c>
      <c r="D45" s="10" t="s">
        <v>20</v>
      </c>
      <c r="E45" s="11" t="s">
        <v>20</v>
      </c>
      <c r="F45" s="3"/>
      <c r="G45" s="3"/>
      <c r="H45" s="3"/>
      <c r="I45" s="9" t="s">
        <v>32</v>
      </c>
      <c r="J45" s="9" t="s">
        <v>99</v>
      </c>
      <c r="K45" s="9">
        <v>0.1</v>
      </c>
      <c r="L45" s="9" t="s">
        <v>35</v>
      </c>
    </row>
    <row r="46" ht="45.0" customHeight="1">
      <c r="A46" s="10" t="s">
        <v>157</v>
      </c>
      <c r="B46" s="10" t="s">
        <v>101</v>
      </c>
      <c r="C46" s="10" t="s">
        <v>102</v>
      </c>
      <c r="D46" s="10" t="s">
        <v>20</v>
      </c>
      <c r="E46" s="11" t="s">
        <v>20</v>
      </c>
      <c r="F46" s="3"/>
      <c r="G46" s="3"/>
      <c r="H46" s="3"/>
      <c r="I46" s="9" t="s">
        <v>32</v>
      </c>
      <c r="J46" s="9" t="s">
        <v>105</v>
      </c>
      <c r="K46" s="9">
        <v>0.1</v>
      </c>
      <c r="L46" s="9" t="s">
        <v>35</v>
      </c>
    </row>
    <row r="47" ht="168.75" customHeight="1">
      <c r="A47" s="4" t="s">
        <v>174</v>
      </c>
      <c r="B47" s="5" t="s">
        <v>15</v>
      </c>
      <c r="C47" s="5" t="s">
        <v>19</v>
      </c>
      <c r="D47" s="5" t="s">
        <v>20</v>
      </c>
      <c r="E47" s="7" t="s">
        <v>24</v>
      </c>
      <c r="F47" s="7" t="s">
        <v>176</v>
      </c>
      <c r="G47" s="8"/>
      <c r="H47" s="8"/>
      <c r="I47" s="9" t="s">
        <v>32</v>
      </c>
      <c r="J47" s="9" t="s">
        <v>33</v>
      </c>
      <c r="K47" s="9">
        <v>0.1</v>
      </c>
      <c r="L47" s="9" t="s">
        <v>35</v>
      </c>
    </row>
    <row r="48" ht="169.5" customHeight="1">
      <c r="A48" s="10" t="s">
        <v>174</v>
      </c>
      <c r="B48" s="10" t="s">
        <v>37</v>
      </c>
      <c r="C48" s="10" t="s">
        <v>38</v>
      </c>
      <c r="D48" s="10" t="s">
        <v>20</v>
      </c>
      <c r="E48" s="11" t="s">
        <v>20</v>
      </c>
      <c r="F48" s="3"/>
      <c r="G48" s="3"/>
      <c r="H48" s="3"/>
      <c r="I48" s="9" t="s">
        <v>32</v>
      </c>
      <c r="J48" s="9" t="s">
        <v>41</v>
      </c>
      <c r="K48" s="9">
        <v>0.1</v>
      </c>
      <c r="L48" s="9" t="s">
        <v>35</v>
      </c>
    </row>
    <row r="49" ht="337.5" customHeight="1">
      <c r="A49" s="10" t="s">
        <v>174</v>
      </c>
      <c r="B49" s="10" t="s">
        <v>42</v>
      </c>
      <c r="C49" s="10" t="s">
        <v>44</v>
      </c>
      <c r="D49" s="10" t="s">
        <v>45</v>
      </c>
      <c r="E49" s="11" t="s">
        <v>24</v>
      </c>
      <c r="F49" s="11" t="s">
        <v>186</v>
      </c>
      <c r="G49" s="3"/>
      <c r="H49" s="3"/>
      <c r="I49" s="9" t="s">
        <v>32</v>
      </c>
      <c r="J49" s="9" t="s">
        <v>49</v>
      </c>
      <c r="K49" s="9">
        <v>0.1</v>
      </c>
      <c r="L49" s="9" t="s">
        <v>35</v>
      </c>
    </row>
    <row r="50" ht="180.75" customHeight="1">
      <c r="A50" s="10" t="s">
        <v>174</v>
      </c>
      <c r="B50" s="10" t="s">
        <v>51</v>
      </c>
      <c r="C50" s="10" t="s">
        <v>52</v>
      </c>
      <c r="D50" s="10" t="s">
        <v>20</v>
      </c>
      <c r="E50" s="11" t="s">
        <v>24</v>
      </c>
      <c r="F50" s="11" t="s">
        <v>191</v>
      </c>
      <c r="G50" s="3"/>
      <c r="H50" s="3"/>
      <c r="I50" s="9" t="s">
        <v>32</v>
      </c>
      <c r="J50" s="9" t="s">
        <v>58</v>
      </c>
      <c r="K50" s="9">
        <v>0.1</v>
      </c>
      <c r="L50" s="9" t="s">
        <v>35</v>
      </c>
    </row>
    <row r="51" ht="51.75" customHeight="1">
      <c r="A51" s="10" t="s">
        <v>174</v>
      </c>
      <c r="B51" s="10" t="s">
        <v>60</v>
      </c>
      <c r="C51" s="10" t="s">
        <v>62</v>
      </c>
      <c r="D51" s="10" t="s">
        <v>20</v>
      </c>
      <c r="E51" s="11" t="s">
        <v>20</v>
      </c>
      <c r="F51" s="3"/>
      <c r="G51" s="3"/>
      <c r="H51" s="3"/>
      <c r="I51" s="9" t="s">
        <v>32</v>
      </c>
      <c r="J51" s="9" t="s">
        <v>77</v>
      </c>
      <c r="K51" s="9">
        <v>0.1</v>
      </c>
      <c r="L51" s="9" t="s">
        <v>35</v>
      </c>
    </row>
    <row r="52" ht="45.0" customHeight="1">
      <c r="A52" s="10" t="s">
        <v>174</v>
      </c>
      <c r="B52" s="10" t="s">
        <v>78</v>
      </c>
      <c r="C52" s="10" t="s">
        <v>79</v>
      </c>
      <c r="D52" s="10" t="s">
        <v>20</v>
      </c>
      <c r="E52" s="11" t="s">
        <v>24</v>
      </c>
      <c r="F52" s="11" t="s">
        <v>194</v>
      </c>
      <c r="G52" s="3"/>
      <c r="H52" s="3"/>
      <c r="I52" s="9" t="s">
        <v>32</v>
      </c>
      <c r="J52" s="9" t="s">
        <v>82</v>
      </c>
      <c r="K52" s="9">
        <v>0.1</v>
      </c>
      <c r="L52" s="9" t="s">
        <v>35</v>
      </c>
    </row>
    <row r="53" ht="54.0" customHeight="1">
      <c r="A53" s="10" t="s">
        <v>174</v>
      </c>
      <c r="B53" s="10" t="s">
        <v>84</v>
      </c>
      <c r="C53" s="10" t="s">
        <v>87</v>
      </c>
      <c r="D53" s="10" t="s">
        <v>20</v>
      </c>
      <c r="E53" s="11" t="s">
        <v>20</v>
      </c>
      <c r="F53" s="3"/>
      <c r="G53" s="3"/>
      <c r="H53" s="3"/>
      <c r="I53" s="9" t="s">
        <v>32</v>
      </c>
      <c r="J53" s="9" t="s">
        <v>91</v>
      </c>
      <c r="K53" s="9">
        <v>0.1</v>
      </c>
      <c r="L53" s="9" t="s">
        <v>35</v>
      </c>
    </row>
    <row r="54" ht="45.0" customHeight="1">
      <c r="A54" s="10" t="s">
        <v>174</v>
      </c>
      <c r="B54" s="10" t="s">
        <v>95</v>
      </c>
      <c r="C54" s="10" t="s">
        <v>96</v>
      </c>
      <c r="D54" s="10" t="s">
        <v>20</v>
      </c>
      <c r="E54" s="11" t="s">
        <v>20</v>
      </c>
      <c r="F54" s="3"/>
      <c r="G54" s="3"/>
      <c r="H54" s="3"/>
      <c r="I54" s="9" t="s">
        <v>32</v>
      </c>
      <c r="J54" s="9" t="s">
        <v>99</v>
      </c>
      <c r="K54" s="9">
        <v>0.1</v>
      </c>
      <c r="L54" s="9" t="s">
        <v>35</v>
      </c>
    </row>
    <row r="55" ht="45.0" customHeight="1">
      <c r="A55" s="10" t="s">
        <v>174</v>
      </c>
      <c r="B55" s="10" t="s">
        <v>101</v>
      </c>
      <c r="C55" s="10" t="s">
        <v>102</v>
      </c>
      <c r="D55" s="10" t="s">
        <v>20</v>
      </c>
      <c r="E55" s="11" t="s">
        <v>20</v>
      </c>
      <c r="F55" s="3"/>
      <c r="G55" s="3"/>
      <c r="H55" s="3"/>
      <c r="I55" s="9" t="s">
        <v>32</v>
      </c>
      <c r="J55" s="9" t="s">
        <v>105</v>
      </c>
      <c r="K55" s="9">
        <v>0.1</v>
      </c>
      <c r="L55" s="9" t="s">
        <v>35</v>
      </c>
    </row>
    <row r="56" ht="168.75" customHeight="1">
      <c r="A56" s="4" t="s">
        <v>199</v>
      </c>
      <c r="B56" s="5" t="s">
        <v>15</v>
      </c>
      <c r="C56" s="5" t="s">
        <v>19</v>
      </c>
      <c r="D56" s="5" t="s">
        <v>20</v>
      </c>
      <c r="E56" s="7" t="s">
        <v>24</v>
      </c>
      <c r="F56" s="7" t="s">
        <v>201</v>
      </c>
      <c r="G56" s="8"/>
      <c r="H56" s="8"/>
      <c r="I56" s="9" t="s">
        <v>32</v>
      </c>
      <c r="J56" s="9" t="s">
        <v>33</v>
      </c>
      <c r="K56" s="9">
        <v>0.1</v>
      </c>
      <c r="L56" s="9" t="s">
        <v>35</v>
      </c>
    </row>
    <row r="57" ht="169.5" customHeight="1">
      <c r="A57" s="10" t="s">
        <v>199</v>
      </c>
      <c r="B57" s="10" t="s">
        <v>37</v>
      </c>
      <c r="C57" s="10" t="s">
        <v>38</v>
      </c>
      <c r="D57" s="10" t="s">
        <v>20</v>
      </c>
      <c r="E57" s="11" t="s">
        <v>20</v>
      </c>
      <c r="F57" s="3"/>
      <c r="G57" s="3"/>
      <c r="H57" s="3"/>
      <c r="I57" s="9" t="s">
        <v>32</v>
      </c>
      <c r="J57" s="9" t="s">
        <v>41</v>
      </c>
      <c r="K57" s="9">
        <v>0.1</v>
      </c>
      <c r="L57" s="9" t="s">
        <v>35</v>
      </c>
    </row>
    <row r="58" ht="337.5" customHeight="1">
      <c r="A58" s="10" t="s">
        <v>199</v>
      </c>
      <c r="B58" s="10" t="s">
        <v>42</v>
      </c>
      <c r="C58" s="10" t="s">
        <v>44</v>
      </c>
      <c r="D58" s="10" t="s">
        <v>45</v>
      </c>
      <c r="E58" s="11" t="s">
        <v>24</v>
      </c>
      <c r="F58" s="11" t="s">
        <v>204</v>
      </c>
      <c r="G58" s="3"/>
      <c r="H58" s="3"/>
      <c r="I58" s="9" t="s">
        <v>32</v>
      </c>
      <c r="J58" s="9" t="s">
        <v>49</v>
      </c>
      <c r="K58" s="9">
        <v>0.1</v>
      </c>
      <c r="L58" s="9" t="s">
        <v>35</v>
      </c>
    </row>
    <row r="59" ht="180.75" customHeight="1">
      <c r="A59" s="10" t="s">
        <v>199</v>
      </c>
      <c r="B59" s="10" t="s">
        <v>51</v>
      </c>
      <c r="C59" s="10" t="s">
        <v>52</v>
      </c>
      <c r="D59" s="10" t="s">
        <v>20</v>
      </c>
      <c r="E59" s="11" t="s">
        <v>24</v>
      </c>
      <c r="F59" s="11" t="s">
        <v>206</v>
      </c>
      <c r="G59" s="3"/>
      <c r="H59" s="3"/>
      <c r="I59" s="9" t="s">
        <v>32</v>
      </c>
      <c r="J59" s="9" t="s">
        <v>58</v>
      </c>
      <c r="K59" s="9">
        <v>0.1</v>
      </c>
      <c r="L59" s="9" t="s">
        <v>35</v>
      </c>
    </row>
    <row r="60" ht="51.75" customHeight="1">
      <c r="A60" s="10" t="s">
        <v>199</v>
      </c>
      <c r="B60" s="10" t="s">
        <v>60</v>
      </c>
      <c r="C60" s="10" t="s">
        <v>62</v>
      </c>
      <c r="D60" s="10" t="s">
        <v>20</v>
      </c>
      <c r="E60" s="11" t="s">
        <v>24</v>
      </c>
      <c r="F60" s="11" t="s">
        <v>208</v>
      </c>
      <c r="G60" s="3"/>
      <c r="H60" s="3"/>
      <c r="I60" s="9" t="s">
        <v>32</v>
      </c>
      <c r="J60" s="9" t="s">
        <v>77</v>
      </c>
      <c r="K60" s="9">
        <v>0.1</v>
      </c>
      <c r="L60" s="9" t="s">
        <v>35</v>
      </c>
    </row>
    <row r="61" ht="45.0" customHeight="1">
      <c r="A61" s="10" t="s">
        <v>199</v>
      </c>
      <c r="B61" s="10" t="s">
        <v>78</v>
      </c>
      <c r="C61" s="10" t="s">
        <v>79</v>
      </c>
      <c r="D61" s="10" t="s">
        <v>20</v>
      </c>
      <c r="E61" s="11" t="s">
        <v>20</v>
      </c>
      <c r="F61" s="3"/>
      <c r="G61" s="3"/>
      <c r="H61" s="3"/>
      <c r="I61" s="9" t="s">
        <v>32</v>
      </c>
      <c r="J61" s="9" t="s">
        <v>82</v>
      </c>
      <c r="K61" s="9">
        <v>0.1</v>
      </c>
      <c r="L61" s="9" t="s">
        <v>35</v>
      </c>
    </row>
    <row r="62" ht="54.0" customHeight="1">
      <c r="A62" s="10" t="s">
        <v>199</v>
      </c>
      <c r="B62" s="10" t="s">
        <v>84</v>
      </c>
      <c r="C62" s="10" t="s">
        <v>87</v>
      </c>
      <c r="D62" s="10" t="s">
        <v>20</v>
      </c>
      <c r="E62" s="11" t="s">
        <v>20</v>
      </c>
      <c r="F62" s="3"/>
      <c r="G62" s="3"/>
      <c r="H62" s="3"/>
      <c r="I62" s="9" t="s">
        <v>32</v>
      </c>
      <c r="J62" s="9" t="s">
        <v>91</v>
      </c>
      <c r="K62" s="9">
        <v>0.1</v>
      </c>
      <c r="L62" s="9" t="s">
        <v>35</v>
      </c>
    </row>
    <row r="63" ht="45.0" customHeight="1">
      <c r="A63" s="10" t="s">
        <v>199</v>
      </c>
      <c r="B63" s="10" t="s">
        <v>95</v>
      </c>
      <c r="C63" s="10" t="s">
        <v>96</v>
      </c>
      <c r="D63" s="10" t="s">
        <v>20</v>
      </c>
      <c r="E63" s="11" t="s">
        <v>20</v>
      </c>
      <c r="F63" s="3"/>
      <c r="G63" s="3"/>
      <c r="H63" s="3"/>
      <c r="I63" s="9" t="s">
        <v>32</v>
      </c>
      <c r="J63" s="9" t="s">
        <v>99</v>
      </c>
      <c r="K63" s="9">
        <v>0.1</v>
      </c>
      <c r="L63" s="9" t="s">
        <v>35</v>
      </c>
    </row>
    <row r="64" ht="45.0" customHeight="1">
      <c r="A64" s="10" t="s">
        <v>199</v>
      </c>
      <c r="B64" s="10" t="s">
        <v>101</v>
      </c>
      <c r="C64" s="10" t="s">
        <v>102</v>
      </c>
      <c r="D64" s="10" t="s">
        <v>20</v>
      </c>
      <c r="E64" s="11" t="s">
        <v>20</v>
      </c>
      <c r="F64" s="3"/>
      <c r="G64" s="3"/>
      <c r="H64" s="3"/>
      <c r="I64" s="9" t="s">
        <v>32</v>
      </c>
      <c r="J64" s="9" t="s">
        <v>105</v>
      </c>
      <c r="K64" s="9">
        <v>0.1</v>
      </c>
      <c r="L64" s="9" t="s">
        <v>35</v>
      </c>
    </row>
    <row r="65" ht="168.75" customHeight="1">
      <c r="A65" s="4" t="s">
        <v>212</v>
      </c>
      <c r="B65" s="5" t="s">
        <v>15</v>
      </c>
      <c r="C65" s="5" t="s">
        <v>19</v>
      </c>
      <c r="D65" s="5" t="s">
        <v>20</v>
      </c>
      <c r="E65" s="7" t="s">
        <v>20</v>
      </c>
      <c r="F65" s="8"/>
      <c r="G65" s="8"/>
      <c r="H65" s="8"/>
      <c r="I65" s="9" t="s">
        <v>32</v>
      </c>
      <c r="J65" s="9" t="s">
        <v>33</v>
      </c>
      <c r="K65" s="9">
        <v>0.1</v>
      </c>
      <c r="L65" s="9" t="s">
        <v>35</v>
      </c>
    </row>
    <row r="66" ht="169.5" customHeight="1">
      <c r="A66" s="10" t="s">
        <v>212</v>
      </c>
      <c r="B66" s="10" t="s">
        <v>37</v>
      </c>
      <c r="C66" s="10" t="s">
        <v>38</v>
      </c>
      <c r="D66" s="10" t="s">
        <v>20</v>
      </c>
      <c r="E66" s="11" t="s">
        <v>20</v>
      </c>
      <c r="F66" s="3"/>
      <c r="G66" s="3"/>
      <c r="H66" s="3"/>
      <c r="I66" s="9" t="s">
        <v>32</v>
      </c>
      <c r="J66" s="9" t="s">
        <v>41</v>
      </c>
      <c r="K66" s="9">
        <v>0.1</v>
      </c>
      <c r="L66" s="9" t="s">
        <v>35</v>
      </c>
    </row>
    <row r="67" ht="337.5" customHeight="1">
      <c r="A67" s="10" t="s">
        <v>212</v>
      </c>
      <c r="B67" s="10" t="s">
        <v>42</v>
      </c>
      <c r="C67" s="10" t="s">
        <v>44</v>
      </c>
      <c r="D67" s="10" t="s">
        <v>45</v>
      </c>
      <c r="E67" s="11" t="s">
        <v>24</v>
      </c>
      <c r="F67" s="11" t="s">
        <v>130</v>
      </c>
      <c r="G67" s="3"/>
      <c r="H67" s="3"/>
      <c r="I67" s="9" t="s">
        <v>32</v>
      </c>
      <c r="J67" s="9" t="s">
        <v>49</v>
      </c>
      <c r="K67" s="9">
        <v>0.1</v>
      </c>
      <c r="L67" s="9" t="s">
        <v>35</v>
      </c>
    </row>
    <row r="68" ht="180.75" customHeight="1">
      <c r="A68" s="10" t="s">
        <v>212</v>
      </c>
      <c r="B68" s="10" t="s">
        <v>51</v>
      </c>
      <c r="C68" s="10" t="s">
        <v>52</v>
      </c>
      <c r="D68" s="10" t="s">
        <v>20</v>
      </c>
      <c r="E68" s="11" t="s">
        <v>24</v>
      </c>
      <c r="F68" s="11" t="s">
        <v>214</v>
      </c>
      <c r="G68" s="3"/>
      <c r="H68" s="3"/>
      <c r="I68" s="9" t="s">
        <v>32</v>
      </c>
      <c r="J68" s="9" t="s">
        <v>58</v>
      </c>
      <c r="K68" s="9">
        <v>0.1</v>
      </c>
      <c r="L68" s="9" t="s">
        <v>35</v>
      </c>
    </row>
    <row r="69" ht="51.75" customHeight="1">
      <c r="A69" s="10" t="s">
        <v>212</v>
      </c>
      <c r="B69" s="10" t="s">
        <v>60</v>
      </c>
      <c r="C69" s="10" t="s">
        <v>62</v>
      </c>
      <c r="D69" s="10" t="s">
        <v>20</v>
      </c>
      <c r="E69" s="11" t="s">
        <v>24</v>
      </c>
      <c r="F69" s="11" t="s">
        <v>216</v>
      </c>
      <c r="G69" s="3"/>
      <c r="H69" s="3"/>
      <c r="I69" s="9" t="s">
        <v>32</v>
      </c>
      <c r="J69" s="9" t="s">
        <v>77</v>
      </c>
      <c r="K69" s="9">
        <v>0.1</v>
      </c>
      <c r="L69" s="9" t="s">
        <v>35</v>
      </c>
    </row>
    <row r="70" ht="45.0" customHeight="1">
      <c r="A70" s="10" t="s">
        <v>212</v>
      </c>
      <c r="B70" s="10" t="s">
        <v>78</v>
      </c>
      <c r="C70" s="10" t="s">
        <v>79</v>
      </c>
      <c r="D70" s="10" t="s">
        <v>20</v>
      </c>
      <c r="E70" s="11" t="s">
        <v>20</v>
      </c>
      <c r="F70" s="3"/>
      <c r="G70" s="3"/>
      <c r="H70" s="3"/>
      <c r="I70" s="9" t="s">
        <v>32</v>
      </c>
      <c r="J70" s="9" t="s">
        <v>82</v>
      </c>
      <c r="K70" s="9">
        <v>0.1</v>
      </c>
      <c r="L70" s="9" t="s">
        <v>35</v>
      </c>
    </row>
    <row r="71" ht="54.0" customHeight="1">
      <c r="A71" s="10" t="s">
        <v>212</v>
      </c>
      <c r="B71" s="10" t="s">
        <v>84</v>
      </c>
      <c r="C71" s="10" t="s">
        <v>87</v>
      </c>
      <c r="D71" s="10" t="s">
        <v>20</v>
      </c>
      <c r="E71" s="11" t="s">
        <v>24</v>
      </c>
      <c r="F71" s="11" t="s">
        <v>218</v>
      </c>
      <c r="G71" s="3"/>
      <c r="H71" s="3"/>
      <c r="I71" s="9" t="s">
        <v>32</v>
      </c>
      <c r="J71" s="9" t="s">
        <v>91</v>
      </c>
      <c r="K71" s="9">
        <v>0.1</v>
      </c>
      <c r="L71" s="9" t="s">
        <v>35</v>
      </c>
    </row>
    <row r="72" ht="45.0" customHeight="1">
      <c r="A72" s="10" t="s">
        <v>212</v>
      </c>
      <c r="B72" s="10" t="s">
        <v>95</v>
      </c>
      <c r="C72" s="10" t="s">
        <v>96</v>
      </c>
      <c r="D72" s="10" t="s">
        <v>20</v>
      </c>
      <c r="E72" s="11" t="s">
        <v>20</v>
      </c>
      <c r="F72" s="3"/>
      <c r="G72" s="3"/>
      <c r="H72" s="3"/>
      <c r="I72" s="9" t="s">
        <v>32</v>
      </c>
      <c r="J72" s="9" t="s">
        <v>99</v>
      </c>
      <c r="K72" s="9">
        <v>0.1</v>
      </c>
      <c r="L72" s="9" t="s">
        <v>35</v>
      </c>
    </row>
    <row r="73" ht="45.0" customHeight="1">
      <c r="A73" s="10" t="s">
        <v>212</v>
      </c>
      <c r="B73" s="10" t="s">
        <v>101</v>
      </c>
      <c r="C73" s="10" t="s">
        <v>102</v>
      </c>
      <c r="D73" s="10" t="s">
        <v>20</v>
      </c>
      <c r="E73" s="11" t="s">
        <v>20</v>
      </c>
      <c r="F73" s="3"/>
      <c r="G73" s="3"/>
      <c r="H73" s="3"/>
      <c r="I73" s="9" t="s">
        <v>32</v>
      </c>
      <c r="J73" s="9" t="s">
        <v>105</v>
      </c>
      <c r="K73" s="9">
        <v>0.1</v>
      </c>
      <c r="L73" s="9" t="s">
        <v>35</v>
      </c>
    </row>
    <row r="74" ht="168.75" customHeight="1">
      <c r="A74" s="4" t="s">
        <v>220</v>
      </c>
      <c r="B74" s="5" t="s">
        <v>15</v>
      </c>
      <c r="C74" s="5" t="s">
        <v>19</v>
      </c>
      <c r="D74" s="5" t="s">
        <v>20</v>
      </c>
      <c r="E74" s="7" t="s">
        <v>24</v>
      </c>
      <c r="F74" s="7" t="s">
        <v>221</v>
      </c>
      <c r="G74" s="8"/>
      <c r="H74" s="8"/>
      <c r="I74" s="9" t="s">
        <v>32</v>
      </c>
      <c r="J74" s="9" t="s">
        <v>33</v>
      </c>
      <c r="K74" s="9">
        <v>0.1</v>
      </c>
      <c r="L74" s="9" t="s">
        <v>35</v>
      </c>
    </row>
    <row r="75" ht="169.5" customHeight="1">
      <c r="A75" s="10" t="s">
        <v>220</v>
      </c>
      <c r="B75" s="10" t="s">
        <v>37</v>
      </c>
      <c r="C75" s="10" t="s">
        <v>38</v>
      </c>
      <c r="D75" s="10" t="s">
        <v>20</v>
      </c>
      <c r="E75" s="11" t="s">
        <v>20</v>
      </c>
      <c r="F75" s="3"/>
      <c r="G75" s="3"/>
      <c r="H75" s="3"/>
      <c r="I75" s="9" t="s">
        <v>32</v>
      </c>
      <c r="J75" s="9" t="s">
        <v>41</v>
      </c>
      <c r="K75" s="9">
        <v>0.1</v>
      </c>
      <c r="L75" s="9" t="s">
        <v>35</v>
      </c>
    </row>
    <row r="76" ht="337.5" customHeight="1">
      <c r="A76" s="10" t="s">
        <v>220</v>
      </c>
      <c r="B76" s="10" t="s">
        <v>42</v>
      </c>
      <c r="C76" s="10" t="s">
        <v>44</v>
      </c>
      <c r="D76" s="10" t="s">
        <v>45</v>
      </c>
      <c r="E76" s="11" t="s">
        <v>24</v>
      </c>
      <c r="F76" s="11" t="s">
        <v>223</v>
      </c>
      <c r="G76" s="3"/>
      <c r="H76" s="3"/>
      <c r="I76" s="9" t="s">
        <v>32</v>
      </c>
      <c r="J76" s="9" t="s">
        <v>49</v>
      </c>
      <c r="K76" s="9">
        <v>0.1</v>
      </c>
      <c r="L76" s="9" t="s">
        <v>35</v>
      </c>
    </row>
    <row r="77" ht="180.75" customHeight="1">
      <c r="A77" s="10" t="s">
        <v>220</v>
      </c>
      <c r="B77" s="10" t="s">
        <v>51</v>
      </c>
      <c r="C77" s="10" t="s">
        <v>52</v>
      </c>
      <c r="D77" s="10" t="s">
        <v>20</v>
      </c>
      <c r="E77" s="11" t="s">
        <v>24</v>
      </c>
      <c r="F77" s="11" t="s">
        <v>224</v>
      </c>
      <c r="G77" s="3"/>
      <c r="H77" s="3"/>
      <c r="I77" s="9" t="s">
        <v>32</v>
      </c>
      <c r="J77" s="9" t="s">
        <v>58</v>
      </c>
      <c r="K77" s="9">
        <v>0.1</v>
      </c>
      <c r="L77" s="9" t="s">
        <v>35</v>
      </c>
    </row>
    <row r="78" ht="51.75" customHeight="1">
      <c r="A78" s="10" t="s">
        <v>220</v>
      </c>
      <c r="B78" s="10" t="s">
        <v>60</v>
      </c>
      <c r="C78" s="10" t="s">
        <v>62</v>
      </c>
      <c r="D78" s="10" t="s">
        <v>20</v>
      </c>
      <c r="E78" s="11" t="s">
        <v>20</v>
      </c>
      <c r="F78" s="3"/>
      <c r="G78" s="3"/>
      <c r="H78" s="3"/>
      <c r="I78" s="9" t="s">
        <v>32</v>
      </c>
      <c r="J78" s="9" t="s">
        <v>77</v>
      </c>
      <c r="K78" s="9">
        <v>0.1</v>
      </c>
      <c r="L78" s="9" t="s">
        <v>35</v>
      </c>
    </row>
    <row r="79" ht="45.0" customHeight="1">
      <c r="A79" s="10" t="s">
        <v>220</v>
      </c>
      <c r="B79" s="10" t="s">
        <v>78</v>
      </c>
      <c r="C79" s="10" t="s">
        <v>79</v>
      </c>
      <c r="D79" s="10" t="s">
        <v>20</v>
      </c>
      <c r="E79" s="11" t="s">
        <v>24</v>
      </c>
      <c r="F79" s="11" t="s">
        <v>226</v>
      </c>
      <c r="G79" s="3"/>
      <c r="H79" s="3"/>
      <c r="I79" s="9" t="s">
        <v>32</v>
      </c>
      <c r="J79" s="9" t="s">
        <v>82</v>
      </c>
      <c r="K79" s="9">
        <v>0.1</v>
      </c>
      <c r="L79" s="9" t="s">
        <v>35</v>
      </c>
    </row>
    <row r="80" ht="54.0" customHeight="1">
      <c r="A80" s="10" t="s">
        <v>220</v>
      </c>
      <c r="B80" s="10" t="s">
        <v>84</v>
      </c>
      <c r="C80" s="10" t="s">
        <v>87</v>
      </c>
      <c r="D80" s="10" t="s">
        <v>20</v>
      </c>
      <c r="E80" s="11" t="s">
        <v>20</v>
      </c>
      <c r="F80" s="3"/>
      <c r="G80" s="3"/>
      <c r="H80" s="3"/>
      <c r="I80" s="9" t="s">
        <v>32</v>
      </c>
      <c r="J80" s="9" t="s">
        <v>91</v>
      </c>
      <c r="K80" s="9">
        <v>0.1</v>
      </c>
      <c r="L80" s="9" t="s">
        <v>35</v>
      </c>
    </row>
    <row r="81" ht="45.0" customHeight="1">
      <c r="A81" s="10" t="s">
        <v>220</v>
      </c>
      <c r="B81" s="10" t="s">
        <v>95</v>
      </c>
      <c r="C81" s="10" t="s">
        <v>96</v>
      </c>
      <c r="D81" s="10" t="s">
        <v>20</v>
      </c>
      <c r="E81" s="11" t="s">
        <v>20</v>
      </c>
      <c r="F81" s="3"/>
      <c r="G81" s="3"/>
      <c r="H81" s="3"/>
      <c r="I81" s="9" t="s">
        <v>32</v>
      </c>
      <c r="J81" s="9" t="s">
        <v>99</v>
      </c>
      <c r="K81" s="9">
        <v>0.1</v>
      </c>
      <c r="L81" s="9" t="s">
        <v>35</v>
      </c>
    </row>
    <row r="82" ht="45.0" customHeight="1">
      <c r="A82" s="10" t="s">
        <v>220</v>
      </c>
      <c r="B82" s="10" t="s">
        <v>101</v>
      </c>
      <c r="C82" s="10" t="s">
        <v>102</v>
      </c>
      <c r="D82" s="10" t="s">
        <v>20</v>
      </c>
      <c r="E82" s="11" t="s">
        <v>20</v>
      </c>
      <c r="F82" s="3"/>
      <c r="G82" s="3"/>
      <c r="H82" s="3"/>
      <c r="I82" s="9" t="s">
        <v>32</v>
      </c>
      <c r="J82" s="9" t="s">
        <v>105</v>
      </c>
      <c r="K82" s="9">
        <v>0.1</v>
      </c>
      <c r="L82" s="9" t="s">
        <v>35</v>
      </c>
    </row>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E2:H82">
    <cfRule type="expression" dxfId="0" priority="1">
      <formula>OR(AND($E2="yes",$F2=""),AND(OR($G2="unsure",LEFT($E2,13)="doesn't apply"),$H2=""),AND($F2&lt;&gt;"",$E2&lt;&gt;"yes"))</formula>
    </cfRule>
  </conditionalFormatting>
  <conditionalFormatting sqref="E2:E82">
    <cfRule type="expression" dxfId="1" priority="2">
      <formula>$E2=""</formula>
    </cfRule>
  </conditionalFormatting>
  <dataValidations>
    <dataValidation type="list" allowBlank="1" showErrorMessage="1" sqref="E2:E3 E6:E12 E15:E21 E24:E30 E33:E39 E42:E48 E51:E57 E60:E66 E69:E75 E78:E82">
      <formula1>"yes,no"</formula1>
    </dataValidation>
    <dataValidation type="list" allowBlank="1" showErrorMessage="1" sqref="E5 E14 E23 E32 E41 E50 E59 E68 E77">
      <formula1>"yes,no,doesn't apply: Dani's message has no question or request"</formula1>
    </dataValidation>
    <dataValidation type="list" allowBlank="1" showErrorMessage="1" sqref="G2:G82">
      <formula1>"unsure"</formula1>
    </dataValidation>
    <dataValidation type="list" allowBlank="1" showErrorMessage="1" sqref="E4 E13 E22 E31 E40 E49 E58 E67 E76">
      <formula1>"yes,no,doesn't apply: the reply gives no advice"</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0.0"/>
    <col customWidth="1" min="3" max="3" width="88.0"/>
    <col customWidth="1" min="4" max="4" width="30.0"/>
    <col customWidth="1" min="5" max="5" width="26.0"/>
    <col customWidth="1" min="6" max="6" width="46.0"/>
    <col customWidth="1" min="7" max="7" width="16.0"/>
    <col customWidth="1" min="8" max="8" width="40.0"/>
    <col customWidth="1" hidden="1" min="9" max="9" width="10.0"/>
    <col customWidth="1" hidden="1" min="10" max="10" width="12.0"/>
    <col customWidth="1" hidden="1" min="11" max="12" width="10.0"/>
    <col customWidth="1" min="13" max="26" width="8.71"/>
  </cols>
  <sheetData>
    <row r="1" ht="48.0" customHeight="1">
      <c r="A1" s="1" t="s">
        <v>0</v>
      </c>
      <c r="B1" s="1" t="s">
        <v>2</v>
      </c>
      <c r="C1" s="1" t="s">
        <v>3</v>
      </c>
      <c r="D1" s="1" t="s">
        <v>4</v>
      </c>
      <c r="E1" s="1" t="s">
        <v>5</v>
      </c>
      <c r="F1" s="1" t="s">
        <v>6</v>
      </c>
      <c r="G1" s="1" t="s">
        <v>7</v>
      </c>
      <c r="H1" s="1" t="s">
        <v>8</v>
      </c>
      <c r="I1" s="1" t="s">
        <v>9</v>
      </c>
      <c r="J1" s="1" t="s">
        <v>10</v>
      </c>
      <c r="K1" s="1" t="s">
        <v>11</v>
      </c>
      <c r="L1" s="1" t="s">
        <v>12</v>
      </c>
    </row>
    <row r="2" ht="168.75" customHeight="1">
      <c r="A2" s="4" t="s">
        <v>227</v>
      </c>
      <c r="B2" s="5" t="s">
        <v>15</v>
      </c>
      <c r="C2" s="5" t="s">
        <v>19</v>
      </c>
      <c r="D2" s="5" t="s">
        <v>20</v>
      </c>
      <c r="E2" s="7" t="s">
        <v>24</v>
      </c>
      <c r="F2" s="7" t="s">
        <v>228</v>
      </c>
      <c r="G2" s="8"/>
      <c r="H2" s="8"/>
      <c r="I2" s="9" t="s">
        <v>229</v>
      </c>
      <c r="J2" s="9" t="s">
        <v>33</v>
      </c>
      <c r="K2" s="9">
        <v>0.1</v>
      </c>
      <c r="L2" s="9" t="s">
        <v>35</v>
      </c>
    </row>
    <row r="3" ht="169.5" customHeight="1">
      <c r="A3" s="10" t="s">
        <v>227</v>
      </c>
      <c r="B3" s="10" t="s">
        <v>37</v>
      </c>
      <c r="C3" s="10" t="s">
        <v>38</v>
      </c>
      <c r="D3" s="10" t="s">
        <v>20</v>
      </c>
      <c r="E3" s="11" t="s">
        <v>20</v>
      </c>
      <c r="F3" s="3"/>
      <c r="G3" s="3"/>
      <c r="H3" s="3"/>
      <c r="I3" s="9" t="s">
        <v>229</v>
      </c>
      <c r="J3" s="9" t="s">
        <v>41</v>
      </c>
      <c r="K3" s="9">
        <v>0.1</v>
      </c>
      <c r="L3" s="9" t="s">
        <v>35</v>
      </c>
    </row>
    <row r="4" ht="337.5" customHeight="1">
      <c r="A4" s="10" t="s">
        <v>227</v>
      </c>
      <c r="B4" s="10" t="s">
        <v>42</v>
      </c>
      <c r="C4" s="10" t="s">
        <v>44</v>
      </c>
      <c r="D4" s="10" t="s">
        <v>45</v>
      </c>
      <c r="E4" s="11" t="s">
        <v>24</v>
      </c>
      <c r="F4" s="11" t="s">
        <v>230</v>
      </c>
      <c r="G4" s="3"/>
      <c r="H4" s="3"/>
      <c r="I4" s="9" t="s">
        <v>229</v>
      </c>
      <c r="J4" s="9" t="s">
        <v>49</v>
      </c>
      <c r="K4" s="9">
        <v>0.1</v>
      </c>
      <c r="L4" s="9" t="s">
        <v>35</v>
      </c>
    </row>
    <row r="5" ht="180.75" customHeight="1">
      <c r="A5" s="10" t="s">
        <v>227</v>
      </c>
      <c r="B5" s="10" t="s">
        <v>51</v>
      </c>
      <c r="C5" s="10" t="s">
        <v>52</v>
      </c>
      <c r="D5" s="10" t="s">
        <v>20</v>
      </c>
      <c r="E5" s="11" t="s">
        <v>24</v>
      </c>
      <c r="F5" s="11" t="s">
        <v>231</v>
      </c>
      <c r="G5" s="3"/>
      <c r="H5" s="3"/>
      <c r="I5" s="9" t="s">
        <v>229</v>
      </c>
      <c r="J5" s="9" t="s">
        <v>58</v>
      </c>
      <c r="K5" s="9">
        <v>0.1</v>
      </c>
      <c r="L5" s="9" t="s">
        <v>35</v>
      </c>
    </row>
    <row r="6" ht="84.75" customHeight="1">
      <c r="A6" s="10" t="s">
        <v>227</v>
      </c>
      <c r="B6" s="10" t="s">
        <v>232</v>
      </c>
      <c r="C6" s="10" t="s">
        <v>233</v>
      </c>
      <c r="D6" s="10" t="s">
        <v>20</v>
      </c>
      <c r="E6" s="11" t="s">
        <v>20</v>
      </c>
      <c r="F6" s="3"/>
      <c r="G6" s="3"/>
      <c r="H6" s="3"/>
      <c r="I6" s="9" t="s">
        <v>229</v>
      </c>
      <c r="J6" s="9" t="s">
        <v>234</v>
      </c>
      <c r="K6" s="9">
        <v>0.1</v>
      </c>
      <c r="L6" s="9" t="s">
        <v>35</v>
      </c>
    </row>
    <row r="7" ht="108.75" customHeight="1">
      <c r="A7" s="10" t="s">
        <v>227</v>
      </c>
      <c r="B7" s="10" t="s">
        <v>235</v>
      </c>
      <c r="C7" s="10" t="s">
        <v>236</v>
      </c>
      <c r="D7" s="10" t="s">
        <v>20</v>
      </c>
      <c r="E7" s="11" t="s">
        <v>24</v>
      </c>
      <c r="F7" s="11" t="s">
        <v>237</v>
      </c>
      <c r="G7" s="3"/>
      <c r="H7" s="3"/>
      <c r="I7" s="9" t="s">
        <v>229</v>
      </c>
      <c r="J7" s="9" t="s">
        <v>238</v>
      </c>
      <c r="K7" s="9">
        <v>0.1</v>
      </c>
      <c r="L7" s="9" t="s">
        <v>35</v>
      </c>
    </row>
    <row r="8" ht="168.75" customHeight="1">
      <c r="A8" s="4" t="s">
        <v>239</v>
      </c>
      <c r="B8" s="5" t="s">
        <v>15</v>
      </c>
      <c r="C8" s="5" t="s">
        <v>19</v>
      </c>
      <c r="D8" s="5" t="s">
        <v>20</v>
      </c>
      <c r="E8" s="7" t="s">
        <v>24</v>
      </c>
      <c r="F8" s="7" t="s">
        <v>240</v>
      </c>
      <c r="G8" s="8"/>
      <c r="H8" s="8"/>
      <c r="I8" s="9" t="s">
        <v>229</v>
      </c>
      <c r="J8" s="9" t="s">
        <v>33</v>
      </c>
      <c r="K8" s="9">
        <v>0.1</v>
      </c>
      <c r="L8" s="9" t="s">
        <v>35</v>
      </c>
    </row>
    <row r="9" ht="169.5" customHeight="1">
      <c r="A9" s="10" t="s">
        <v>239</v>
      </c>
      <c r="B9" s="10" t="s">
        <v>37</v>
      </c>
      <c r="C9" s="10" t="s">
        <v>38</v>
      </c>
      <c r="D9" s="10" t="s">
        <v>20</v>
      </c>
      <c r="E9" s="11" t="s">
        <v>20</v>
      </c>
      <c r="F9" s="3"/>
      <c r="G9" s="3"/>
      <c r="H9" s="3"/>
      <c r="I9" s="9" t="s">
        <v>229</v>
      </c>
      <c r="J9" s="9" t="s">
        <v>41</v>
      </c>
      <c r="K9" s="9">
        <v>0.1</v>
      </c>
      <c r="L9" s="9" t="s">
        <v>35</v>
      </c>
    </row>
    <row r="10" ht="337.5" customHeight="1">
      <c r="A10" s="10" t="s">
        <v>239</v>
      </c>
      <c r="B10" s="10" t="s">
        <v>42</v>
      </c>
      <c r="C10" s="10" t="s">
        <v>44</v>
      </c>
      <c r="D10" s="10" t="s">
        <v>45</v>
      </c>
      <c r="E10" s="11" t="s">
        <v>48</v>
      </c>
      <c r="F10" s="3"/>
      <c r="G10" s="3"/>
      <c r="H10" s="11" t="s">
        <v>50</v>
      </c>
      <c r="I10" s="9" t="s">
        <v>229</v>
      </c>
      <c r="J10" s="9" t="s">
        <v>49</v>
      </c>
      <c r="K10" s="9">
        <v>0.1</v>
      </c>
      <c r="L10" s="9" t="s">
        <v>35</v>
      </c>
    </row>
    <row r="11" ht="180.75" customHeight="1">
      <c r="A11" s="10" t="s">
        <v>239</v>
      </c>
      <c r="B11" s="10" t="s">
        <v>51</v>
      </c>
      <c r="C11" s="10" t="s">
        <v>52</v>
      </c>
      <c r="D11" s="10" t="s">
        <v>20</v>
      </c>
      <c r="E11" s="11" t="s">
        <v>24</v>
      </c>
      <c r="F11" s="11" t="s">
        <v>241</v>
      </c>
      <c r="G11" s="3"/>
      <c r="H11" s="3"/>
      <c r="I11" s="9" t="s">
        <v>229</v>
      </c>
      <c r="J11" s="9" t="s">
        <v>58</v>
      </c>
      <c r="K11" s="9">
        <v>0.1</v>
      </c>
      <c r="L11" s="9" t="s">
        <v>35</v>
      </c>
    </row>
    <row r="12" ht="84.75" customHeight="1">
      <c r="A12" s="10" t="s">
        <v>239</v>
      </c>
      <c r="B12" s="10" t="s">
        <v>232</v>
      </c>
      <c r="C12" s="10" t="s">
        <v>233</v>
      </c>
      <c r="D12" s="10" t="s">
        <v>20</v>
      </c>
      <c r="E12" s="11" t="s">
        <v>24</v>
      </c>
      <c r="F12" s="11" t="s">
        <v>242</v>
      </c>
      <c r="G12" s="3"/>
      <c r="H12" s="3"/>
      <c r="I12" s="9" t="s">
        <v>229</v>
      </c>
      <c r="J12" s="9" t="s">
        <v>234</v>
      </c>
      <c r="K12" s="9">
        <v>0.1</v>
      </c>
      <c r="L12" s="9" t="s">
        <v>35</v>
      </c>
    </row>
    <row r="13" ht="108.75" customHeight="1">
      <c r="A13" s="10" t="s">
        <v>239</v>
      </c>
      <c r="B13" s="10" t="s">
        <v>235</v>
      </c>
      <c r="C13" s="10" t="s">
        <v>236</v>
      </c>
      <c r="D13" s="10" t="s">
        <v>20</v>
      </c>
      <c r="E13" s="11" t="s">
        <v>20</v>
      </c>
      <c r="F13" s="3"/>
      <c r="G13" s="3"/>
      <c r="H13" s="3"/>
      <c r="I13" s="9" t="s">
        <v>229</v>
      </c>
      <c r="J13" s="9" t="s">
        <v>238</v>
      </c>
      <c r="K13" s="9">
        <v>0.1</v>
      </c>
      <c r="L13" s="9" t="s">
        <v>35</v>
      </c>
    </row>
    <row r="14" ht="168.75" customHeight="1">
      <c r="A14" s="4" t="s">
        <v>243</v>
      </c>
      <c r="B14" s="5" t="s">
        <v>15</v>
      </c>
      <c r="C14" s="5" t="s">
        <v>19</v>
      </c>
      <c r="D14" s="5" t="s">
        <v>20</v>
      </c>
      <c r="E14" s="7" t="s">
        <v>24</v>
      </c>
      <c r="F14" s="7" t="s">
        <v>244</v>
      </c>
      <c r="G14" s="8"/>
      <c r="H14" s="8"/>
      <c r="I14" s="9" t="s">
        <v>229</v>
      </c>
      <c r="J14" s="9" t="s">
        <v>33</v>
      </c>
      <c r="K14" s="9">
        <v>0.1</v>
      </c>
      <c r="L14" s="9" t="s">
        <v>35</v>
      </c>
    </row>
    <row r="15" ht="169.5" customHeight="1">
      <c r="A15" s="10" t="s">
        <v>243</v>
      </c>
      <c r="B15" s="10" t="s">
        <v>37</v>
      </c>
      <c r="C15" s="10" t="s">
        <v>38</v>
      </c>
      <c r="D15" s="10" t="s">
        <v>20</v>
      </c>
      <c r="E15" s="11" t="s">
        <v>20</v>
      </c>
      <c r="F15" s="3"/>
      <c r="G15" s="3"/>
      <c r="H15" s="3"/>
      <c r="I15" s="9" t="s">
        <v>229</v>
      </c>
      <c r="J15" s="9" t="s">
        <v>41</v>
      </c>
      <c r="K15" s="9">
        <v>0.1</v>
      </c>
      <c r="L15" s="9" t="s">
        <v>35</v>
      </c>
    </row>
    <row r="16" ht="337.5" customHeight="1">
      <c r="A16" s="10" t="s">
        <v>243</v>
      </c>
      <c r="B16" s="10" t="s">
        <v>42</v>
      </c>
      <c r="C16" s="10" t="s">
        <v>44</v>
      </c>
      <c r="D16" s="10" t="s">
        <v>45</v>
      </c>
      <c r="E16" s="11" t="s">
        <v>48</v>
      </c>
      <c r="F16" s="3"/>
      <c r="G16" s="3"/>
      <c r="H16" s="11" t="s">
        <v>50</v>
      </c>
      <c r="I16" s="9" t="s">
        <v>229</v>
      </c>
      <c r="J16" s="9" t="s">
        <v>49</v>
      </c>
      <c r="K16" s="9">
        <v>0.1</v>
      </c>
      <c r="L16" s="9" t="s">
        <v>35</v>
      </c>
    </row>
    <row r="17" ht="180.75" customHeight="1">
      <c r="A17" s="10" t="s">
        <v>243</v>
      </c>
      <c r="B17" s="10" t="s">
        <v>51</v>
      </c>
      <c r="C17" s="10" t="s">
        <v>52</v>
      </c>
      <c r="D17" s="10" t="s">
        <v>20</v>
      </c>
      <c r="E17" s="11" t="s">
        <v>24</v>
      </c>
      <c r="F17" s="11" t="s">
        <v>245</v>
      </c>
      <c r="G17" s="3"/>
      <c r="H17" s="3"/>
      <c r="I17" s="9" t="s">
        <v>229</v>
      </c>
      <c r="J17" s="9" t="s">
        <v>58</v>
      </c>
      <c r="K17" s="9">
        <v>0.1</v>
      </c>
      <c r="L17" s="9" t="s">
        <v>35</v>
      </c>
    </row>
    <row r="18" ht="84.75" customHeight="1">
      <c r="A18" s="10" t="s">
        <v>243</v>
      </c>
      <c r="B18" s="10" t="s">
        <v>232</v>
      </c>
      <c r="C18" s="10" t="s">
        <v>233</v>
      </c>
      <c r="D18" s="10" t="s">
        <v>20</v>
      </c>
      <c r="E18" s="11" t="s">
        <v>24</v>
      </c>
      <c r="F18" s="11" t="s">
        <v>246</v>
      </c>
      <c r="G18" s="3"/>
      <c r="H18" s="3"/>
      <c r="I18" s="9" t="s">
        <v>229</v>
      </c>
      <c r="J18" s="9" t="s">
        <v>234</v>
      </c>
      <c r="K18" s="9">
        <v>0.1</v>
      </c>
      <c r="L18" s="9" t="s">
        <v>35</v>
      </c>
    </row>
    <row r="19" ht="108.75" customHeight="1">
      <c r="A19" s="10" t="s">
        <v>243</v>
      </c>
      <c r="B19" s="10" t="s">
        <v>235</v>
      </c>
      <c r="C19" s="10" t="s">
        <v>236</v>
      </c>
      <c r="D19" s="10" t="s">
        <v>20</v>
      </c>
      <c r="E19" s="11" t="s">
        <v>20</v>
      </c>
      <c r="F19" s="3"/>
      <c r="G19" s="3"/>
      <c r="H19" s="3"/>
      <c r="I19" s="9" t="s">
        <v>229</v>
      </c>
      <c r="J19" s="9" t="s">
        <v>238</v>
      </c>
      <c r="K19" s="9">
        <v>0.1</v>
      </c>
      <c r="L19" s="9" t="s">
        <v>35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E2:H19">
    <cfRule type="expression" dxfId="0" priority="1">
      <formula>OR(AND($E2="yes",$F2=""),AND(OR($G2="unsure",LEFT($E2,13)="doesn't apply"),$H2=""),AND($F2&lt;&gt;"",$E2&lt;&gt;"yes"))</formula>
    </cfRule>
  </conditionalFormatting>
  <conditionalFormatting sqref="E2:E19">
    <cfRule type="expression" dxfId="1" priority="2">
      <formula>$E2=""</formula>
    </cfRule>
  </conditionalFormatting>
  <dataValidations>
    <dataValidation type="list" allowBlank="1" showErrorMessage="1" sqref="E2:E3 E6:E9 E12:E15 E18:E19">
      <formula1>"yes,no"</formula1>
    </dataValidation>
    <dataValidation type="list" allowBlank="1" showErrorMessage="1" sqref="E5 E11 E17">
      <formula1>"yes,no,doesn't apply: Dani's message has no question or request"</formula1>
    </dataValidation>
    <dataValidation type="list" allowBlank="1" showErrorMessage="1" sqref="G2:G19">
      <formula1>"unsure"</formula1>
    </dataValidation>
    <dataValidation type="list" allowBlank="1" showErrorMessage="1" sqref="E4 E10 E16">
      <formula1>"yes,no,doesn't apply: the reply gives no advice"</formula1>
    </dataValidation>
  </dataValidations>
  <printOptions/>
  <pageMargins bottom="1.0" footer="0.0" header="0.0" left="0.75" right="0.75" top="1.0"/>
  <pageSetup orientation="landscape"/>
  <drawing r:id="rId4"/>
  <legacyDrawing r:id="rId5"/>
</worksheet>
</file>