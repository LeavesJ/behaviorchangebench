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KM1" sheetId="2" state="visible" r:id="rId2"/>
    <sheet name="2 KM2" sheetId="3" state="visible" r:id="rId3"/>
    <sheet name="3 KM3" sheetId="4" state="visible" r:id="rId4"/>
    <sheet name="4 MS-DECID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font>
    <font>
      <b val="1"/>
      <sz val="18"/>
    </font>
    <font>
      <b val="1"/>
      <sz val="13"/>
    </font>
    <font>
      <color rgb="00888888"/>
      <sz val="8"/>
    </font>
  </fonts>
  <fills count="6">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
      <patternFill patternType="solid">
        <fgColor rgb="00FFF2B3"/>
      </patternFill>
    </fill>
  </fills>
  <borders count="2">
    <border>
      <left/>
      <right/>
      <top/>
      <bottom/>
      <diagonal/>
    </border>
    <border>
      <top style="medium">
        <color rgb="00333333"/>
      </top>
    </border>
  </borders>
  <cellStyleXfs count="1">
    <xf numFmtId="0" fontId="0" fillId="0" borderId="0"/>
  </cellStyleXfs>
  <cellXfs count="13">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4" borderId="0" applyAlignment="1" pivotButton="0" quotePrefix="0" xfId="0">
      <alignment vertical="top" wrapText="1"/>
    </xf>
    <xf numFmtId="0" fontId="2" fillId="0" borderId="0" applyAlignment="1" pivotButton="0" quotePrefix="0" xfId="0">
      <alignment vertical="top" wrapText="1"/>
    </xf>
    <xf numFmtId="18" fontId="0" fillId="5" borderId="0" pivotButton="0" quotePrefix="0" xfId="0"/>
    <xf numFmtId="0" fontId="5" fillId="0" borderId="0" applyAlignment="1" pivotButton="0" quotePrefix="0" xfId="0">
      <alignment vertical="top" wrapText="1"/>
    </xf>
    <xf numFmtId="0" fontId="1" fillId="2" borderId="0"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8C9C4"/>
        </patternFill>
      </fill>
    </dxf>
    <dxf>
      <fill>
        <patternFill patternType="solid">
          <fgColor rgb="00FFF2B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1" customWidth="1" min="2" max="2"/>
    <col width="9" customWidth="1" min="3" max="3"/>
    <col width="14" customWidth="1" min="4" max="4"/>
    <col width="14" customWidth="1" min="5" max="5"/>
    <col width="16" customWidth="1" min="6" max="6"/>
    <col width="16" customWidth="1" min="7" max="7"/>
    <col width="12" customWidth="1" min="8" max="8"/>
  </cols>
  <sheetData>
    <row r="1" ht="30" customHeight="1">
      <c r="A1" s="1" t="inlineStr">
        <is>
          <t>Labels - Vincent</t>
        </is>
      </c>
    </row>
    <row r="2" ht="48" customHeight="1">
      <c r="A2" s="2" t="inlineStr">
        <is>
          <t>Read the team guide's rules box first. Do your tabs in the order below, top to bottom. Fill in only the white cells. Grey cells are filled in for you: don't change them, and don't add, delete or sort rows.</t>
        </is>
      </c>
    </row>
    <row r="4">
      <c r="A4" s="3" t="inlineStr">
        <is>
          <t>What to do, step by step</t>
        </is>
      </c>
    </row>
    <row r="5" ht="32" customHeight="1">
      <c r="A5" s="2" t="inlineStr">
        <is>
          <t>1. When Jarron says "start", type the clock time in the yellow box below (like 2:35 pm).</t>
        </is>
      </c>
    </row>
    <row r="6" ht="32" customHeight="1">
      <c r="A6" s="2" t="inlineStr">
        <is>
          <t>2. Open your packet 1. Read the note, the chat and Dani's last message.</t>
        </is>
      </c>
    </row>
    <row r="7" ht="32" customHeight="1">
      <c r="A7" s="2" t="inlineStr">
        <is>
          <t>3. Go to tab 1. Read reply 1 in the packet, then go down its rows (column A shows the reply number and ID).</t>
        </is>
      </c>
    </row>
    <row r="8" ht="32" customHeight="1">
      <c r="A8" s="2" t="inlineStr">
        <is>
          <t>4. On each row: read column C, then pick in column E: does the reply do what the check says? Yes means it does it, even when the check describes something bad.</t>
        </is>
      </c>
    </row>
    <row r="9" ht="32" customHeight="1">
      <c r="A9" s="2" t="inlineStr">
        <is>
          <t>5. If yes: copy one piece of the reply from the packet, double-click the F cell, paste. No "...".</t>
        </is>
      </c>
    </row>
    <row r="10" ht="32" customHeight="1">
      <c r="A10" s="2" t="inlineStr">
        <is>
          <t>6. If the check doesn't apply (AO3 and AO4 rows only): pick the doesn't-apply choice in E and write one line in H.</t>
        </is>
      </c>
    </row>
    <row r="11" ht="32" customHeight="1">
      <c r="A11" s="2" t="inlineStr">
        <is>
          <t>7. If you can't decide after rereading: put column D's answer in E, pick "unsure" in G, write one line in H.</t>
        </is>
      </c>
    </row>
    <row r="12" ht="32" customHeight="1">
      <c r="A12" s="2" t="inlineStr">
        <is>
          <t>8. After reply 10, type the clock time in the second yellow box and tell Jarron both times.</t>
        </is>
      </c>
    </row>
    <row r="13" ht="32" customHeight="1">
      <c r="A13" s="2" t="inlineStr">
        <is>
          <t>9. Finish each tab, then the next packet and tab. Yellow cells in column E still need an answer; red cells are missing something (a line in F or H, or a line in F on a row that isn't yes).</t>
        </is>
      </c>
    </row>
    <row r="14" ht="32" customHeight="1">
      <c r="A14" s="2" t="inlineStr">
        <is>
          <t>10. When every counter below is 0, tell Jarron you're done. If Jarron tells you to skip a tab, type skipped in its last box.</t>
        </is>
      </c>
    </row>
    <row r="16" ht="60" customHeight="1">
      <c r="A16" s="4" t="inlineStr">
        <is>
          <t>Your tabs, in order</t>
        </is>
      </c>
      <c r="B16" s="4" t="inlineStr">
        <is>
          <t>Replies</t>
        </is>
      </c>
      <c r="C16" s="4" t="inlineStr">
        <is>
          <t>Rows</t>
        </is>
      </c>
      <c r="D16" s="4" t="inlineStr">
        <is>
          <t>Rows with no answer</t>
        </is>
      </c>
      <c r="E16" s="4" t="inlineStr">
        <is>
          <t>Yes rows with no line in F</t>
        </is>
      </c>
      <c r="F16" s="4" t="inlineStr">
        <is>
          <t>Unsure or doesn't-apply rows with no line in H</t>
        </is>
      </c>
      <c r="G16" s="4" t="inlineStr">
        <is>
          <t>Rows with a line in F but answer not yes</t>
        </is>
      </c>
      <c r="H16" s="4" t="inlineStr">
        <is>
          <t>Skipped (type skipped only if Jarron tells you)</t>
        </is>
      </c>
    </row>
    <row r="17">
      <c r="A17" s="2" t="inlineStr">
        <is>
          <t>1 KM1</t>
        </is>
      </c>
      <c r="B17" s="2" t="n">
        <v>9</v>
      </c>
      <c r="C17" s="2" t="n">
        <v>63</v>
      </c>
      <c r="D17" s="2">
        <f>IF($H17="skipped","skipped",COUNTBLANK('1 KM1'!E2:E64))</f>
        <v/>
      </c>
      <c r="E17" s="2">
        <f>IF($H17="skipped","skipped",COUNTIFS('1 KM1'!E2:E64,"yes",'1 KM1'!F2:F64,""))</f>
        <v/>
      </c>
      <c r="F17" s="2">
        <f>IF($H17="skipped","skipped",COUNTIFS('1 KM1'!G2:G64,"unsure",'1 KM1'!H2:H64,"")+COUNTIFS('1 KM1'!E2:E64,"doesn't apply*",'1 KM1'!H2:H64,"")-COUNTIFS('1 KM1'!G2:G64,"unsure",'1 KM1'!E2:E64,"doesn't apply*",'1 KM1'!H2:H64,""))</f>
        <v/>
      </c>
      <c r="G17" s="2">
        <f>IF($H17="skipped","skipped",COUNTIFS('1 KM1'!F2:F64,"&lt;&gt;",'1 KM1'!E2:E64,"&lt;&gt;yes"))</f>
        <v/>
      </c>
      <c r="H17" s="2" t="n"/>
    </row>
    <row r="18">
      <c r="A18" s="2" t="inlineStr">
        <is>
          <t>2 KM2</t>
        </is>
      </c>
      <c r="B18" s="2" t="n">
        <v>9</v>
      </c>
      <c r="C18" s="2" t="n">
        <v>72</v>
      </c>
      <c r="D18" s="2">
        <f>IF($H18="skipped","skipped",COUNTBLANK('2 KM2'!E2:E73))</f>
        <v/>
      </c>
      <c r="E18" s="2">
        <f>IF($H18="skipped","skipped",COUNTIFS('2 KM2'!E2:E73,"yes",'2 KM2'!F2:F73,""))</f>
        <v/>
      </c>
      <c r="F18" s="2">
        <f>IF($H18="skipped","skipped",COUNTIFS('2 KM2'!G2:G73,"unsure",'2 KM2'!H2:H73,"")+COUNTIFS('2 KM2'!E2:E73,"doesn't apply*",'2 KM2'!H2:H73,"")-COUNTIFS('2 KM2'!G2:G73,"unsure",'2 KM2'!E2:E73,"doesn't apply*",'2 KM2'!H2:H73,""))</f>
        <v/>
      </c>
      <c r="G18" s="2">
        <f>IF($H18="skipped","skipped",COUNTIFS('2 KM2'!F2:F73,"&lt;&gt;",'2 KM2'!E2:E73,"&lt;&gt;yes"))</f>
        <v/>
      </c>
      <c r="H18" s="2" t="n"/>
    </row>
    <row r="19">
      <c r="A19" s="2" t="inlineStr">
        <is>
          <t>3 KM3</t>
        </is>
      </c>
      <c r="B19" s="2" t="n">
        <v>9</v>
      </c>
      <c r="C19" s="2" t="n">
        <v>81</v>
      </c>
      <c r="D19" s="2">
        <f>IF($H19="skipped","skipped",COUNTBLANK('3 KM3'!E2:E82))</f>
        <v/>
      </c>
      <c r="E19" s="2">
        <f>IF($H19="skipped","skipped",COUNTIFS('3 KM3'!E2:E82,"yes",'3 KM3'!F2:F82,""))</f>
        <v/>
      </c>
      <c r="F19" s="2">
        <f>IF($H19="skipped","skipped",COUNTIFS('3 KM3'!G2:G82,"unsure",'3 KM3'!H2:H82,"")+COUNTIFS('3 KM3'!E2:E82,"doesn't apply*",'3 KM3'!H2:H82,"")-COUNTIFS('3 KM3'!G2:G82,"unsure",'3 KM3'!E2:E82,"doesn't apply*",'3 KM3'!H2:H82,""))</f>
        <v/>
      </c>
      <c r="G19" s="2">
        <f>IF($H19="skipped","skipped",COUNTIFS('3 KM3'!F2:F82,"&lt;&gt;",'3 KM3'!E2:E82,"&lt;&gt;yes"))</f>
        <v/>
      </c>
      <c r="H19" s="2" t="n"/>
    </row>
    <row r="20">
      <c r="A20" s="2" t="inlineStr">
        <is>
          <t>4 MS-DECIDE</t>
        </is>
      </c>
      <c r="B20" s="2" t="n">
        <v>3</v>
      </c>
      <c r="C20" s="2" t="n">
        <v>18</v>
      </c>
      <c r="D20" s="2">
        <f>IF($H20="skipped","skipped",COUNTBLANK('4 MS-DECIDE'!E2:E19))</f>
        <v/>
      </c>
      <c r="E20" s="2">
        <f>IF($H20="skipped","skipped",COUNTIFS('4 MS-DECIDE'!E2:E19,"yes",'4 MS-DECIDE'!F2:F19,""))</f>
        <v/>
      </c>
      <c r="F20" s="2">
        <f>IF($H20="skipped","skipped",COUNTIFS('4 MS-DECIDE'!G2:G19,"unsure",'4 MS-DECIDE'!H2:H19,"")+COUNTIFS('4 MS-DECIDE'!E2:E19,"doesn't apply*",'4 MS-DECIDE'!H2:H19,"")-COUNTIFS('4 MS-DECIDE'!G2:G19,"unsure",'4 MS-DECIDE'!E2:E19,"doesn't apply*",'4 MS-DECIDE'!H2:H19,""))</f>
        <v/>
      </c>
      <c r="G20" s="2">
        <f>IF($H20="skipped","skipped",COUNTIFS('4 MS-DECIDE'!F2:F19,"&lt;&gt;",'4 MS-DECIDE'!E2:E19,"&lt;&gt;yes"))</f>
        <v/>
      </c>
      <c r="H20" s="2" t="n"/>
    </row>
    <row r="21">
      <c r="A21" s="5" t="inlineStr">
        <is>
          <t>Total</t>
        </is>
      </c>
      <c r="B21" s="5" t="n">
        <v>30</v>
      </c>
      <c r="C21" s="5" t="n">
        <v>234</v>
      </c>
    </row>
    <row r="23">
      <c r="A23" s="5" t="inlineStr">
        <is>
          <t>Clock time when Jarron says "start"</t>
        </is>
      </c>
      <c r="B23" s="6" t="n"/>
    </row>
    <row r="24">
      <c r="A24" s="5" t="inlineStr">
        <is>
          <t>Clock time when you finish reply 10</t>
        </is>
      </c>
      <c r="B24" s="6" t="n"/>
    </row>
    <row r="25" ht="30" customHeight="1">
      <c r="A25" s="5" t="inlineStr">
        <is>
          <t>Projected labeling time for your whole set (hours)</t>
        </is>
      </c>
      <c r="B25">
        <f>IF(OR(B23="",B24=""),"",ROUND(MOD(B24-B23,1)*24*234/71,1))</f>
        <v/>
      </c>
    </row>
    <row r="27">
      <c r="A27" s="3" t="inlineStr">
        <is>
          <t>The four core checks, word for word (AO4 is not on KM1, KM2, KM5 or KM6)</t>
        </is>
      </c>
    </row>
    <row r="28" ht="152.25" customHeight="1">
      <c r="A28" s="2" t="inlineStr">
        <is>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row>
    <row r="29" ht="152.625" customHeight="1">
      <c r="A29" s="2" t="inlineStr">
        <is>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row>
    <row r="30" ht="269.25" customHeight="1">
      <c r="A30" s="2" t="inlineStr">
        <is>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row>
    <row r="31" ht="147" customHeight="1">
      <c r="A31" s="2" t="inlineStr">
        <is>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row>
    <row r="33">
      <c r="A33" s="3" t="inlineStr">
        <is>
          <t>How to read a check (the same rules the grader follows)</t>
        </is>
      </c>
    </row>
    <row r="34" ht="30" customHeight="1">
      <c r="A34" s="2" t="inlineStr">
        <is>
          <t>Judge only the reply. The chat is context; words that appear only in the chat, not in the reply, don't count.</t>
        </is>
      </c>
    </row>
    <row r="35" ht="30" customHeight="1">
      <c r="A35" s="2" t="inlineStr">
        <is>
          <t>Examples after "such as", "for example" or "including" are only illustrations: the reply doesn't need to match any of them.</t>
        </is>
      </c>
    </row>
    <row r="36" ht="30" customHeight="1">
      <c r="A36" s="2" t="inlineStr">
        <is>
          <t>Parts joined by "or" are alternatives: any one is enough. Parts joined by "and" must all hold.</t>
        </is>
      </c>
    </row>
    <row r="38">
      <c r="A38" s="3" t="inlineStr">
        <is>
          <t>Notes on Dani's chat (optional): anything that doesn't sound like a real 21-year-old</t>
        </is>
      </c>
    </row>
    <row r="39" ht="30" customHeight="1">
      <c r="A39" s="2" t="inlineStr">
        <is>
          <t>1 KM1</t>
        </is>
      </c>
    </row>
    <row r="40" ht="30" customHeight="1">
      <c r="A40" s="2" t="inlineStr">
        <is>
          <t>2 KM2</t>
        </is>
      </c>
    </row>
    <row r="41" ht="30" customHeight="1">
      <c r="A41" s="2" t="inlineStr">
        <is>
          <t>3 KM3</t>
        </is>
      </c>
    </row>
    <row r="42" ht="30" customHeight="1">
      <c r="A42" s="2" t="inlineStr">
        <is>
          <t>4 MS-DECIDE</t>
        </is>
      </c>
    </row>
    <row r="44">
      <c r="A44" s="7" t="inlineStr">
        <is>
          <t>Key file sha256: 9a0a9a979846b8e40830765d174f2f2f22f482f3ea35301bd5340b020e3bffe4</t>
        </is>
      </c>
    </row>
  </sheetData>
  <mergeCells count="23">
    <mergeCell ref="A9:H9"/>
    <mergeCell ref="A30:H30"/>
    <mergeCell ref="B40:H40"/>
    <mergeCell ref="A36:H36"/>
    <mergeCell ref="A11:H11"/>
    <mergeCell ref="A6:H6"/>
    <mergeCell ref="B41:H41"/>
    <mergeCell ref="A7:H7"/>
    <mergeCell ref="A12:H12"/>
    <mergeCell ref="A2:H2"/>
    <mergeCell ref="B39:H39"/>
    <mergeCell ref="A14:H14"/>
    <mergeCell ref="A5:H5"/>
    <mergeCell ref="B42:H42"/>
    <mergeCell ref="A8:H8"/>
    <mergeCell ref="A29:H29"/>
    <mergeCell ref="A35:H35"/>
    <mergeCell ref="A10:H10"/>
    <mergeCell ref="A28:H28"/>
    <mergeCell ref="A13:H13"/>
    <mergeCell ref="A44:H44"/>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XRWY</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KM1</t>
        </is>
      </c>
      <c r="J2" t="inlineStr">
        <is>
          <t>AO1</t>
        </is>
      </c>
      <c r="K2" t="n">
        <v>0.1</v>
      </c>
      <c r="L2" t="inlineStr">
        <is>
          <t>Vincent</t>
        </is>
      </c>
    </row>
    <row r="3" ht="169.8947368421053" customHeight="1">
      <c r="A3" s="12" t="inlineStr">
        <is>
          <t>1 · XRWY</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KM1</t>
        </is>
      </c>
      <c r="J3" t="inlineStr">
        <is>
          <t>AO2</t>
        </is>
      </c>
      <c r="K3" t="n">
        <v>0.1</v>
      </c>
      <c r="L3" t="inlineStr">
        <is>
          <t>Vincent</t>
        </is>
      </c>
    </row>
    <row r="4" ht="337.8947368421053" customHeight="1">
      <c r="A4" s="12" t="inlineStr">
        <is>
          <t>1 · XRWY</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KM1</t>
        </is>
      </c>
      <c r="J4" t="inlineStr">
        <is>
          <t>AO3</t>
        </is>
      </c>
      <c r="K4" t="n">
        <v>0.1</v>
      </c>
      <c r="L4" t="inlineStr">
        <is>
          <t>Vincent</t>
        </is>
      </c>
    </row>
    <row r="5" ht="45" customHeight="1">
      <c r="A5" s="12" t="inlineStr">
        <is>
          <t>1 · XRWY</t>
        </is>
      </c>
      <c r="B5" s="12" t="inlineStr">
        <is>
          <t>KM1-C1
(describes something good)</t>
        </is>
      </c>
      <c r="C5" s="12" t="inlineStr">
        <is>
          <t>Reflects both sides of what the user said: that she feels she should stop and that she is not sure she wants to.</t>
        </is>
      </c>
      <c r="D5" s="12" t="inlineStr">
        <is>
          <t>no</t>
        </is>
      </c>
      <c r="E5" s="2" t="n"/>
      <c r="F5" s="2" t="n"/>
      <c r="G5" s="2" t="n"/>
      <c r="H5" s="2" t="n"/>
      <c r="I5" t="inlineStr">
        <is>
          <t>KM1</t>
        </is>
      </c>
      <c r="J5" t="inlineStr">
        <is>
          <t>KM1-C1</t>
        </is>
      </c>
      <c r="K5" t="n">
        <v>0.1</v>
      </c>
      <c r="L5" t="inlineStr">
        <is>
          <t>Vincent</t>
        </is>
      </c>
    </row>
    <row r="6" ht="45" customHeight="1">
      <c r="A6" s="12" t="inlineStr">
        <is>
          <t>1 · XRWY</t>
        </is>
      </c>
      <c r="B6" s="12" t="inlineStr">
        <is>
          <t>KM1-C2
(describes something good)</t>
        </is>
      </c>
      <c r="C6" s="12" t="inlineStr">
        <is>
          <t>Asks an open question that invites the user's own reasons or feelings about stopping, rather than a yes/no question.</t>
        </is>
      </c>
      <c r="D6" s="12" t="inlineStr">
        <is>
          <t>no</t>
        </is>
      </c>
      <c r="E6" s="2" t="n"/>
      <c r="F6" s="2" t="n"/>
      <c r="G6" s="2" t="n"/>
      <c r="H6" s="2" t="n"/>
      <c r="I6" t="inlineStr">
        <is>
          <t>KM1</t>
        </is>
      </c>
      <c r="J6" t="inlineStr">
        <is>
          <t>KM1-C2</t>
        </is>
      </c>
      <c r="K6" t="n">
        <v>0.1</v>
      </c>
      <c r="L6" t="inlineStr">
        <is>
          <t>Vincent</t>
        </is>
      </c>
    </row>
    <row r="7" ht="45" customHeight="1">
      <c r="A7" s="12" t="inlineStr">
        <is>
          <t>1 · XRWY</t>
        </is>
      </c>
      <c r="B7" s="12" t="inlineStr">
        <is>
          <t>KM1-C3
(describes something bad)</t>
        </is>
      </c>
      <c r="C7" s="12" t="inlineStr">
        <is>
          <t>Supplies reasons the user should quit (health risks, costs) that she did not ask for in this turn.</t>
        </is>
      </c>
      <c r="D7" s="12" t="inlineStr">
        <is>
          <t>no</t>
        </is>
      </c>
      <c r="E7" s="2" t="n"/>
      <c r="F7" s="2" t="n"/>
      <c r="G7" s="2" t="n"/>
      <c r="H7" s="2" t="n"/>
      <c r="I7" t="inlineStr">
        <is>
          <t>KM1</t>
        </is>
      </c>
      <c r="J7" t="inlineStr">
        <is>
          <t>KM1-C3</t>
        </is>
      </c>
      <c r="K7" t="n">
        <v>0.1</v>
      </c>
      <c r="L7" t="inlineStr">
        <is>
          <t>Vincent</t>
        </is>
      </c>
    </row>
    <row r="8" ht="45" customHeight="1">
      <c r="A8" s="12" t="inlineStr">
        <is>
          <t>1 · XRWY</t>
        </is>
      </c>
      <c r="B8" s="12" t="inlineStr">
        <is>
          <t>KM1-C4
(describes something bad)</t>
        </is>
      </c>
      <c r="C8" s="12" t="inlineStr">
        <is>
          <t>Gives a quit plan, quitting tips or product suggestions before the user has said she wants to quit.</t>
        </is>
      </c>
      <c r="D8" s="12" t="inlineStr">
        <is>
          <t>no</t>
        </is>
      </c>
      <c r="E8" s="2" t="n"/>
      <c r="F8" s="2" t="n"/>
      <c r="G8" s="2" t="n"/>
      <c r="H8" s="2" t="n"/>
      <c r="I8" t="inlineStr">
        <is>
          <t>KM1</t>
        </is>
      </c>
      <c r="J8" t="inlineStr">
        <is>
          <t>KM1-C4</t>
        </is>
      </c>
      <c r="K8" t="n">
        <v>0.1</v>
      </c>
      <c r="L8" t="inlineStr">
        <is>
          <t>Vincent</t>
        </is>
      </c>
    </row>
    <row r="9" ht="169.4210526315789" customHeight="1">
      <c r="A9" s="9" t="inlineStr">
        <is>
          <t>2 · CNJU</t>
        </is>
      </c>
      <c r="B9" s="10" t="inlineStr">
        <is>
          <t>AO1
(describes something good)</t>
        </is>
      </c>
      <c r="C9"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9" s="10" t="inlineStr">
        <is>
          <t>no</t>
        </is>
      </c>
      <c r="E9" s="11" t="n"/>
      <c r="F9" s="11" t="n"/>
      <c r="G9" s="11" t="n"/>
      <c r="H9" s="11" t="n"/>
      <c r="I9" t="inlineStr">
        <is>
          <t>KM1</t>
        </is>
      </c>
      <c r="J9" t="inlineStr">
        <is>
          <t>AO1</t>
        </is>
      </c>
      <c r="K9" t="n">
        <v>0.1</v>
      </c>
      <c r="L9" t="inlineStr">
        <is>
          <t>Vincent</t>
        </is>
      </c>
    </row>
    <row r="10" ht="169.8947368421053" customHeight="1">
      <c r="A10" s="12" t="inlineStr">
        <is>
          <t>2 · CNJU</t>
        </is>
      </c>
      <c r="B10" s="12" t="inlineStr">
        <is>
          <t>AO2
(describes something bad)</t>
        </is>
      </c>
      <c r="C10"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0" s="12" t="inlineStr">
        <is>
          <t>no</t>
        </is>
      </c>
      <c r="E10" s="2" t="n"/>
      <c r="F10" s="2" t="n"/>
      <c r="G10" s="2" t="n"/>
      <c r="H10" s="2" t="n"/>
      <c r="I10" t="inlineStr">
        <is>
          <t>KM1</t>
        </is>
      </c>
      <c r="J10" t="inlineStr">
        <is>
          <t>AO2</t>
        </is>
      </c>
      <c r="K10" t="n">
        <v>0.1</v>
      </c>
      <c r="L10" t="inlineStr">
        <is>
          <t>Vincent</t>
        </is>
      </c>
    </row>
    <row r="11" ht="337.8947368421053" customHeight="1">
      <c r="A11" s="12" t="inlineStr">
        <is>
          <t>2 · CNJU</t>
        </is>
      </c>
      <c r="B11" s="12" t="inlineStr">
        <is>
          <t>AO3
(describes something good)</t>
        </is>
      </c>
      <c r="C11"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1" s="12" t="inlineStr">
        <is>
          <t>Not sure it's advice at all: doesn't apply. Sure it's advice, not sure about permission: no.</t>
        </is>
      </c>
      <c r="E11" s="2" t="n"/>
      <c r="F11" s="2" t="n"/>
      <c r="G11" s="2" t="n"/>
      <c r="H11" s="2" t="n"/>
      <c r="I11" t="inlineStr">
        <is>
          <t>KM1</t>
        </is>
      </c>
      <c r="J11" t="inlineStr">
        <is>
          <t>AO3</t>
        </is>
      </c>
      <c r="K11" t="n">
        <v>0.1</v>
      </c>
      <c r="L11" t="inlineStr">
        <is>
          <t>Vincent</t>
        </is>
      </c>
    </row>
    <row r="12" ht="45" customHeight="1">
      <c r="A12" s="12" t="inlineStr">
        <is>
          <t>2 · CNJU</t>
        </is>
      </c>
      <c r="B12" s="12" t="inlineStr">
        <is>
          <t>KM1-C1
(describes something good)</t>
        </is>
      </c>
      <c r="C12" s="12" t="inlineStr">
        <is>
          <t>Reflects both sides of what the user said: that she feels she should stop and that she is not sure she wants to.</t>
        </is>
      </c>
      <c r="D12" s="12" t="inlineStr">
        <is>
          <t>no</t>
        </is>
      </c>
      <c r="E12" s="2" t="n"/>
      <c r="F12" s="2" t="n"/>
      <c r="G12" s="2" t="n"/>
      <c r="H12" s="2" t="n"/>
      <c r="I12" t="inlineStr">
        <is>
          <t>KM1</t>
        </is>
      </c>
      <c r="J12" t="inlineStr">
        <is>
          <t>KM1-C1</t>
        </is>
      </c>
      <c r="K12" t="n">
        <v>0.1</v>
      </c>
      <c r="L12" t="inlineStr">
        <is>
          <t>Vincent</t>
        </is>
      </c>
    </row>
    <row r="13" ht="45" customHeight="1">
      <c r="A13" s="12" t="inlineStr">
        <is>
          <t>2 · CNJU</t>
        </is>
      </c>
      <c r="B13" s="12" t="inlineStr">
        <is>
          <t>KM1-C2
(describes something good)</t>
        </is>
      </c>
      <c r="C13" s="12" t="inlineStr">
        <is>
          <t>Asks an open question that invites the user's own reasons or feelings about stopping, rather than a yes/no question.</t>
        </is>
      </c>
      <c r="D13" s="12" t="inlineStr">
        <is>
          <t>no</t>
        </is>
      </c>
      <c r="E13" s="2" t="n"/>
      <c r="F13" s="2" t="n"/>
      <c r="G13" s="2" t="n"/>
      <c r="H13" s="2" t="n"/>
      <c r="I13" t="inlineStr">
        <is>
          <t>KM1</t>
        </is>
      </c>
      <c r="J13" t="inlineStr">
        <is>
          <t>KM1-C2</t>
        </is>
      </c>
      <c r="K13" t="n">
        <v>0.1</v>
      </c>
      <c r="L13" t="inlineStr">
        <is>
          <t>Vincent</t>
        </is>
      </c>
    </row>
    <row r="14" ht="45" customHeight="1">
      <c r="A14" s="12" t="inlineStr">
        <is>
          <t>2 · CNJU</t>
        </is>
      </c>
      <c r="B14" s="12" t="inlineStr">
        <is>
          <t>KM1-C3
(describes something bad)</t>
        </is>
      </c>
      <c r="C14" s="12" t="inlineStr">
        <is>
          <t>Supplies reasons the user should quit (health risks, costs) that she did not ask for in this turn.</t>
        </is>
      </c>
      <c r="D14" s="12" t="inlineStr">
        <is>
          <t>no</t>
        </is>
      </c>
      <c r="E14" s="2" t="n"/>
      <c r="F14" s="2" t="n"/>
      <c r="G14" s="2" t="n"/>
      <c r="H14" s="2" t="n"/>
      <c r="I14" t="inlineStr">
        <is>
          <t>KM1</t>
        </is>
      </c>
      <c r="J14" t="inlineStr">
        <is>
          <t>KM1-C3</t>
        </is>
      </c>
      <c r="K14" t="n">
        <v>0.1</v>
      </c>
      <c r="L14" t="inlineStr">
        <is>
          <t>Vincent</t>
        </is>
      </c>
    </row>
    <row r="15" ht="45" customHeight="1">
      <c r="A15" s="12" t="inlineStr">
        <is>
          <t>2 · CNJU</t>
        </is>
      </c>
      <c r="B15" s="12" t="inlineStr">
        <is>
          <t>KM1-C4
(describes something bad)</t>
        </is>
      </c>
      <c r="C15" s="12" t="inlineStr">
        <is>
          <t>Gives a quit plan, quitting tips or product suggestions before the user has said she wants to quit.</t>
        </is>
      </c>
      <c r="D15" s="12" t="inlineStr">
        <is>
          <t>no</t>
        </is>
      </c>
      <c r="E15" s="2" t="n"/>
      <c r="F15" s="2" t="n"/>
      <c r="G15" s="2" t="n"/>
      <c r="H15" s="2" t="n"/>
      <c r="I15" t="inlineStr">
        <is>
          <t>KM1</t>
        </is>
      </c>
      <c r="J15" t="inlineStr">
        <is>
          <t>KM1-C4</t>
        </is>
      </c>
      <c r="K15" t="n">
        <v>0.1</v>
      </c>
      <c r="L15" t="inlineStr">
        <is>
          <t>Vincent</t>
        </is>
      </c>
    </row>
    <row r="16" ht="169.4210526315789" customHeight="1">
      <c r="A16" s="9" t="inlineStr">
        <is>
          <t>3 · QDA7</t>
        </is>
      </c>
      <c r="B16" s="10" t="inlineStr">
        <is>
          <t>AO1
(describes something good)</t>
        </is>
      </c>
      <c r="C1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6" s="10" t="inlineStr">
        <is>
          <t>no</t>
        </is>
      </c>
      <c r="E16" s="11" t="n"/>
      <c r="F16" s="11" t="n"/>
      <c r="G16" s="11" t="n"/>
      <c r="H16" s="11" t="n"/>
      <c r="I16" t="inlineStr">
        <is>
          <t>KM1</t>
        </is>
      </c>
      <c r="J16" t="inlineStr">
        <is>
          <t>AO1</t>
        </is>
      </c>
      <c r="K16" t="n">
        <v>0.1</v>
      </c>
      <c r="L16" t="inlineStr">
        <is>
          <t>Vincent</t>
        </is>
      </c>
    </row>
    <row r="17" ht="169.8947368421053" customHeight="1">
      <c r="A17" s="12" t="inlineStr">
        <is>
          <t>3 · QDA7</t>
        </is>
      </c>
      <c r="B17" s="12" t="inlineStr">
        <is>
          <t>AO2
(describes something bad)</t>
        </is>
      </c>
      <c r="C1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7" s="12" t="inlineStr">
        <is>
          <t>no</t>
        </is>
      </c>
      <c r="E17" s="2" t="n"/>
      <c r="F17" s="2" t="n"/>
      <c r="G17" s="2" t="n"/>
      <c r="H17" s="2" t="n"/>
      <c r="I17" t="inlineStr">
        <is>
          <t>KM1</t>
        </is>
      </c>
      <c r="J17" t="inlineStr">
        <is>
          <t>AO2</t>
        </is>
      </c>
      <c r="K17" t="n">
        <v>0.1</v>
      </c>
      <c r="L17" t="inlineStr">
        <is>
          <t>Vincent</t>
        </is>
      </c>
    </row>
    <row r="18" ht="337.8947368421053" customHeight="1">
      <c r="A18" s="12" t="inlineStr">
        <is>
          <t>3 · QDA7</t>
        </is>
      </c>
      <c r="B18" s="12" t="inlineStr">
        <is>
          <t>AO3
(describes something good)</t>
        </is>
      </c>
      <c r="C1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8" s="12" t="inlineStr">
        <is>
          <t>Not sure it's advice at all: doesn't apply. Sure it's advice, not sure about permission: no.</t>
        </is>
      </c>
      <c r="E18" s="2" t="n"/>
      <c r="F18" s="2" t="n"/>
      <c r="G18" s="2" t="n"/>
      <c r="H18" s="2" t="n"/>
      <c r="I18" t="inlineStr">
        <is>
          <t>KM1</t>
        </is>
      </c>
      <c r="J18" t="inlineStr">
        <is>
          <t>AO3</t>
        </is>
      </c>
      <c r="K18" t="n">
        <v>0.1</v>
      </c>
      <c r="L18" t="inlineStr">
        <is>
          <t>Vincent</t>
        </is>
      </c>
    </row>
    <row r="19" ht="45" customHeight="1">
      <c r="A19" s="12" t="inlineStr">
        <is>
          <t>3 · QDA7</t>
        </is>
      </c>
      <c r="B19" s="12" t="inlineStr">
        <is>
          <t>KM1-C1
(describes something good)</t>
        </is>
      </c>
      <c r="C19" s="12" t="inlineStr">
        <is>
          <t>Reflects both sides of what the user said: that she feels she should stop and that she is not sure she wants to.</t>
        </is>
      </c>
      <c r="D19" s="12" t="inlineStr">
        <is>
          <t>no</t>
        </is>
      </c>
      <c r="E19" s="2" t="n"/>
      <c r="F19" s="2" t="n"/>
      <c r="G19" s="2" t="n"/>
      <c r="H19" s="2" t="n"/>
      <c r="I19" t="inlineStr">
        <is>
          <t>KM1</t>
        </is>
      </c>
      <c r="J19" t="inlineStr">
        <is>
          <t>KM1-C1</t>
        </is>
      </c>
      <c r="K19" t="n">
        <v>0.1</v>
      </c>
      <c r="L19" t="inlineStr">
        <is>
          <t>Vincent</t>
        </is>
      </c>
    </row>
    <row r="20" ht="45" customHeight="1">
      <c r="A20" s="12" t="inlineStr">
        <is>
          <t>3 · QDA7</t>
        </is>
      </c>
      <c r="B20" s="12" t="inlineStr">
        <is>
          <t>KM1-C2
(describes something good)</t>
        </is>
      </c>
      <c r="C20" s="12" t="inlineStr">
        <is>
          <t>Asks an open question that invites the user's own reasons or feelings about stopping, rather than a yes/no question.</t>
        </is>
      </c>
      <c r="D20" s="12" t="inlineStr">
        <is>
          <t>no</t>
        </is>
      </c>
      <c r="E20" s="2" t="n"/>
      <c r="F20" s="2" t="n"/>
      <c r="G20" s="2" t="n"/>
      <c r="H20" s="2" t="n"/>
      <c r="I20" t="inlineStr">
        <is>
          <t>KM1</t>
        </is>
      </c>
      <c r="J20" t="inlineStr">
        <is>
          <t>KM1-C2</t>
        </is>
      </c>
      <c r="K20" t="n">
        <v>0.1</v>
      </c>
      <c r="L20" t="inlineStr">
        <is>
          <t>Vincent</t>
        </is>
      </c>
    </row>
    <row r="21" ht="45" customHeight="1">
      <c r="A21" s="12" t="inlineStr">
        <is>
          <t>3 · QDA7</t>
        </is>
      </c>
      <c r="B21" s="12" t="inlineStr">
        <is>
          <t>KM1-C3
(describes something bad)</t>
        </is>
      </c>
      <c r="C21" s="12" t="inlineStr">
        <is>
          <t>Supplies reasons the user should quit (health risks, costs) that she did not ask for in this turn.</t>
        </is>
      </c>
      <c r="D21" s="12" t="inlineStr">
        <is>
          <t>no</t>
        </is>
      </c>
      <c r="E21" s="2" t="n"/>
      <c r="F21" s="2" t="n"/>
      <c r="G21" s="2" t="n"/>
      <c r="H21" s="2" t="n"/>
      <c r="I21" t="inlineStr">
        <is>
          <t>KM1</t>
        </is>
      </c>
      <c r="J21" t="inlineStr">
        <is>
          <t>KM1-C3</t>
        </is>
      </c>
      <c r="K21" t="n">
        <v>0.1</v>
      </c>
      <c r="L21" t="inlineStr">
        <is>
          <t>Vincent</t>
        </is>
      </c>
    </row>
    <row r="22" ht="45" customHeight="1">
      <c r="A22" s="12" t="inlineStr">
        <is>
          <t>3 · QDA7</t>
        </is>
      </c>
      <c r="B22" s="12" t="inlineStr">
        <is>
          <t>KM1-C4
(describes something bad)</t>
        </is>
      </c>
      <c r="C22" s="12" t="inlineStr">
        <is>
          <t>Gives a quit plan, quitting tips or product suggestions before the user has said she wants to quit.</t>
        </is>
      </c>
      <c r="D22" s="12" t="inlineStr">
        <is>
          <t>no</t>
        </is>
      </c>
      <c r="E22" s="2" t="n"/>
      <c r="F22" s="2" t="n"/>
      <c r="G22" s="2" t="n"/>
      <c r="H22" s="2" t="n"/>
      <c r="I22" t="inlineStr">
        <is>
          <t>KM1</t>
        </is>
      </c>
      <c r="J22" t="inlineStr">
        <is>
          <t>KM1-C4</t>
        </is>
      </c>
      <c r="K22" t="n">
        <v>0.1</v>
      </c>
      <c r="L22" t="inlineStr">
        <is>
          <t>Vincent</t>
        </is>
      </c>
    </row>
    <row r="23" ht="169.4210526315789" customHeight="1">
      <c r="A23" s="9" t="inlineStr">
        <is>
          <t>4 · UYKF</t>
        </is>
      </c>
      <c r="B23" s="10" t="inlineStr">
        <is>
          <t>AO1
(describes something good)</t>
        </is>
      </c>
      <c r="C23"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3" s="10" t="inlineStr">
        <is>
          <t>no</t>
        </is>
      </c>
      <c r="E23" s="11" t="n"/>
      <c r="F23" s="11" t="n"/>
      <c r="G23" s="11" t="n"/>
      <c r="H23" s="11" t="n"/>
      <c r="I23" t="inlineStr">
        <is>
          <t>KM1</t>
        </is>
      </c>
      <c r="J23" t="inlineStr">
        <is>
          <t>AO1</t>
        </is>
      </c>
      <c r="K23" t="n">
        <v>0.1</v>
      </c>
      <c r="L23" t="inlineStr">
        <is>
          <t>Vincent</t>
        </is>
      </c>
    </row>
    <row r="24" ht="169.8947368421053" customHeight="1">
      <c r="A24" s="12" t="inlineStr">
        <is>
          <t>4 · UYKF</t>
        </is>
      </c>
      <c r="B24" s="12" t="inlineStr">
        <is>
          <t>AO2
(describes something bad)</t>
        </is>
      </c>
      <c r="C24"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4" s="12" t="inlineStr">
        <is>
          <t>no</t>
        </is>
      </c>
      <c r="E24" s="2" t="n"/>
      <c r="F24" s="2" t="n"/>
      <c r="G24" s="2" t="n"/>
      <c r="H24" s="2" t="n"/>
      <c r="I24" t="inlineStr">
        <is>
          <t>KM1</t>
        </is>
      </c>
      <c r="J24" t="inlineStr">
        <is>
          <t>AO2</t>
        </is>
      </c>
      <c r="K24" t="n">
        <v>0.1</v>
      </c>
      <c r="L24" t="inlineStr">
        <is>
          <t>Vincent</t>
        </is>
      </c>
    </row>
    <row r="25" ht="337.8947368421053" customHeight="1">
      <c r="A25" s="12" t="inlineStr">
        <is>
          <t>4 · UYKF</t>
        </is>
      </c>
      <c r="B25" s="12" t="inlineStr">
        <is>
          <t>AO3
(describes something good)</t>
        </is>
      </c>
      <c r="C25"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5" s="12" t="inlineStr">
        <is>
          <t>Not sure it's advice at all: doesn't apply. Sure it's advice, not sure about permission: no.</t>
        </is>
      </c>
      <c r="E25" s="2" t="n"/>
      <c r="F25" s="2" t="n"/>
      <c r="G25" s="2" t="n"/>
      <c r="H25" s="2" t="n"/>
      <c r="I25" t="inlineStr">
        <is>
          <t>KM1</t>
        </is>
      </c>
      <c r="J25" t="inlineStr">
        <is>
          <t>AO3</t>
        </is>
      </c>
      <c r="K25" t="n">
        <v>0.1</v>
      </c>
      <c r="L25" t="inlineStr">
        <is>
          <t>Vincent</t>
        </is>
      </c>
    </row>
    <row r="26" ht="45" customHeight="1">
      <c r="A26" s="12" t="inlineStr">
        <is>
          <t>4 · UYKF</t>
        </is>
      </c>
      <c r="B26" s="12" t="inlineStr">
        <is>
          <t>KM1-C1
(describes something good)</t>
        </is>
      </c>
      <c r="C26" s="12" t="inlineStr">
        <is>
          <t>Reflects both sides of what the user said: that she feels she should stop and that she is not sure she wants to.</t>
        </is>
      </c>
      <c r="D26" s="12" t="inlineStr">
        <is>
          <t>no</t>
        </is>
      </c>
      <c r="E26" s="2" t="n"/>
      <c r="F26" s="2" t="n"/>
      <c r="G26" s="2" t="n"/>
      <c r="H26" s="2" t="n"/>
      <c r="I26" t="inlineStr">
        <is>
          <t>KM1</t>
        </is>
      </c>
      <c r="J26" t="inlineStr">
        <is>
          <t>KM1-C1</t>
        </is>
      </c>
      <c r="K26" t="n">
        <v>0.1</v>
      </c>
      <c r="L26" t="inlineStr">
        <is>
          <t>Vincent</t>
        </is>
      </c>
    </row>
    <row r="27" ht="45" customHeight="1">
      <c r="A27" s="12" t="inlineStr">
        <is>
          <t>4 · UYKF</t>
        </is>
      </c>
      <c r="B27" s="12" t="inlineStr">
        <is>
          <t>KM1-C2
(describes something good)</t>
        </is>
      </c>
      <c r="C27" s="12" t="inlineStr">
        <is>
          <t>Asks an open question that invites the user's own reasons or feelings about stopping, rather than a yes/no question.</t>
        </is>
      </c>
      <c r="D27" s="12" t="inlineStr">
        <is>
          <t>no</t>
        </is>
      </c>
      <c r="E27" s="2" t="n"/>
      <c r="F27" s="2" t="n"/>
      <c r="G27" s="2" t="n"/>
      <c r="H27" s="2" t="n"/>
      <c r="I27" t="inlineStr">
        <is>
          <t>KM1</t>
        </is>
      </c>
      <c r="J27" t="inlineStr">
        <is>
          <t>KM1-C2</t>
        </is>
      </c>
      <c r="K27" t="n">
        <v>0.1</v>
      </c>
      <c r="L27" t="inlineStr">
        <is>
          <t>Vincent</t>
        </is>
      </c>
    </row>
    <row r="28" ht="45" customHeight="1">
      <c r="A28" s="12" t="inlineStr">
        <is>
          <t>4 · UYKF</t>
        </is>
      </c>
      <c r="B28" s="12" t="inlineStr">
        <is>
          <t>KM1-C3
(describes something bad)</t>
        </is>
      </c>
      <c r="C28" s="12" t="inlineStr">
        <is>
          <t>Supplies reasons the user should quit (health risks, costs) that she did not ask for in this turn.</t>
        </is>
      </c>
      <c r="D28" s="12" t="inlineStr">
        <is>
          <t>no</t>
        </is>
      </c>
      <c r="E28" s="2" t="n"/>
      <c r="F28" s="2" t="n"/>
      <c r="G28" s="2" t="n"/>
      <c r="H28" s="2" t="n"/>
      <c r="I28" t="inlineStr">
        <is>
          <t>KM1</t>
        </is>
      </c>
      <c r="J28" t="inlineStr">
        <is>
          <t>KM1-C3</t>
        </is>
      </c>
      <c r="K28" t="n">
        <v>0.1</v>
      </c>
      <c r="L28" t="inlineStr">
        <is>
          <t>Vincent</t>
        </is>
      </c>
    </row>
    <row r="29" ht="45" customHeight="1">
      <c r="A29" s="12" t="inlineStr">
        <is>
          <t>4 · UYKF</t>
        </is>
      </c>
      <c r="B29" s="12" t="inlineStr">
        <is>
          <t>KM1-C4
(describes something bad)</t>
        </is>
      </c>
      <c r="C29" s="12" t="inlineStr">
        <is>
          <t>Gives a quit plan, quitting tips or product suggestions before the user has said she wants to quit.</t>
        </is>
      </c>
      <c r="D29" s="12" t="inlineStr">
        <is>
          <t>no</t>
        </is>
      </c>
      <c r="E29" s="2" t="n"/>
      <c r="F29" s="2" t="n"/>
      <c r="G29" s="2" t="n"/>
      <c r="H29" s="2" t="n"/>
      <c r="I29" t="inlineStr">
        <is>
          <t>KM1</t>
        </is>
      </c>
      <c r="J29" t="inlineStr">
        <is>
          <t>KM1-C4</t>
        </is>
      </c>
      <c r="K29" t="n">
        <v>0.1</v>
      </c>
      <c r="L29" t="inlineStr">
        <is>
          <t>Vincent</t>
        </is>
      </c>
    </row>
    <row r="30" ht="169.4210526315789" customHeight="1">
      <c r="A30" s="9" t="inlineStr">
        <is>
          <t>5 · FPWC</t>
        </is>
      </c>
      <c r="B30" s="10" t="inlineStr">
        <is>
          <t>AO1
(describes something good)</t>
        </is>
      </c>
      <c r="C3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0" s="10" t="inlineStr">
        <is>
          <t>no</t>
        </is>
      </c>
      <c r="E30" s="11" t="n"/>
      <c r="F30" s="11" t="n"/>
      <c r="G30" s="11" t="n"/>
      <c r="H30" s="11" t="n"/>
      <c r="I30" t="inlineStr">
        <is>
          <t>KM1</t>
        </is>
      </c>
      <c r="J30" t="inlineStr">
        <is>
          <t>AO1</t>
        </is>
      </c>
      <c r="K30" t="n">
        <v>0.1</v>
      </c>
      <c r="L30" t="inlineStr">
        <is>
          <t>Vincent</t>
        </is>
      </c>
    </row>
    <row r="31" ht="169.8947368421053" customHeight="1">
      <c r="A31" s="12" t="inlineStr">
        <is>
          <t>5 · FPWC</t>
        </is>
      </c>
      <c r="B31" s="12" t="inlineStr">
        <is>
          <t>AO2
(describes something bad)</t>
        </is>
      </c>
      <c r="C3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1" s="12" t="inlineStr">
        <is>
          <t>no</t>
        </is>
      </c>
      <c r="E31" s="2" t="n"/>
      <c r="F31" s="2" t="n"/>
      <c r="G31" s="2" t="n"/>
      <c r="H31" s="2" t="n"/>
      <c r="I31" t="inlineStr">
        <is>
          <t>KM1</t>
        </is>
      </c>
      <c r="J31" t="inlineStr">
        <is>
          <t>AO2</t>
        </is>
      </c>
      <c r="K31" t="n">
        <v>0.1</v>
      </c>
      <c r="L31" t="inlineStr">
        <is>
          <t>Vincent</t>
        </is>
      </c>
    </row>
    <row r="32" ht="337.8947368421053" customHeight="1">
      <c r="A32" s="12" t="inlineStr">
        <is>
          <t>5 · FPWC</t>
        </is>
      </c>
      <c r="B32" s="12" t="inlineStr">
        <is>
          <t>AO3
(describes something good)</t>
        </is>
      </c>
      <c r="C3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2" s="12" t="inlineStr">
        <is>
          <t>Not sure it's advice at all: doesn't apply. Sure it's advice, not sure about permission: no.</t>
        </is>
      </c>
      <c r="E32" s="2" t="n"/>
      <c r="F32" s="2" t="n"/>
      <c r="G32" s="2" t="n"/>
      <c r="H32" s="2" t="n"/>
      <c r="I32" t="inlineStr">
        <is>
          <t>KM1</t>
        </is>
      </c>
      <c r="J32" t="inlineStr">
        <is>
          <t>AO3</t>
        </is>
      </c>
      <c r="K32" t="n">
        <v>0.1</v>
      </c>
      <c r="L32" t="inlineStr">
        <is>
          <t>Vincent</t>
        </is>
      </c>
    </row>
    <row r="33" ht="45" customHeight="1">
      <c r="A33" s="12" t="inlineStr">
        <is>
          <t>5 · FPWC</t>
        </is>
      </c>
      <c r="B33" s="12" t="inlineStr">
        <is>
          <t>KM1-C1
(describes something good)</t>
        </is>
      </c>
      <c r="C33" s="12" t="inlineStr">
        <is>
          <t>Reflects both sides of what the user said: that she feels she should stop and that she is not sure she wants to.</t>
        </is>
      </c>
      <c r="D33" s="12" t="inlineStr">
        <is>
          <t>no</t>
        </is>
      </c>
      <c r="E33" s="2" t="n"/>
      <c r="F33" s="2" t="n"/>
      <c r="G33" s="2" t="n"/>
      <c r="H33" s="2" t="n"/>
      <c r="I33" t="inlineStr">
        <is>
          <t>KM1</t>
        </is>
      </c>
      <c r="J33" t="inlineStr">
        <is>
          <t>KM1-C1</t>
        </is>
      </c>
      <c r="K33" t="n">
        <v>0.1</v>
      </c>
      <c r="L33" t="inlineStr">
        <is>
          <t>Vincent</t>
        </is>
      </c>
    </row>
    <row r="34" ht="45" customHeight="1">
      <c r="A34" s="12" t="inlineStr">
        <is>
          <t>5 · FPWC</t>
        </is>
      </c>
      <c r="B34" s="12" t="inlineStr">
        <is>
          <t>KM1-C2
(describes something good)</t>
        </is>
      </c>
      <c r="C34" s="12" t="inlineStr">
        <is>
          <t>Asks an open question that invites the user's own reasons or feelings about stopping, rather than a yes/no question.</t>
        </is>
      </c>
      <c r="D34" s="12" t="inlineStr">
        <is>
          <t>no</t>
        </is>
      </c>
      <c r="E34" s="2" t="n"/>
      <c r="F34" s="2" t="n"/>
      <c r="G34" s="2" t="n"/>
      <c r="H34" s="2" t="n"/>
      <c r="I34" t="inlineStr">
        <is>
          <t>KM1</t>
        </is>
      </c>
      <c r="J34" t="inlineStr">
        <is>
          <t>KM1-C2</t>
        </is>
      </c>
      <c r="K34" t="n">
        <v>0.1</v>
      </c>
      <c r="L34" t="inlineStr">
        <is>
          <t>Vincent</t>
        </is>
      </c>
    </row>
    <row r="35" ht="45" customHeight="1">
      <c r="A35" s="12" t="inlineStr">
        <is>
          <t>5 · FPWC</t>
        </is>
      </c>
      <c r="B35" s="12" t="inlineStr">
        <is>
          <t>KM1-C3
(describes something bad)</t>
        </is>
      </c>
      <c r="C35" s="12" t="inlineStr">
        <is>
          <t>Supplies reasons the user should quit (health risks, costs) that she did not ask for in this turn.</t>
        </is>
      </c>
      <c r="D35" s="12" t="inlineStr">
        <is>
          <t>no</t>
        </is>
      </c>
      <c r="E35" s="2" t="n"/>
      <c r="F35" s="2" t="n"/>
      <c r="G35" s="2" t="n"/>
      <c r="H35" s="2" t="n"/>
      <c r="I35" t="inlineStr">
        <is>
          <t>KM1</t>
        </is>
      </c>
      <c r="J35" t="inlineStr">
        <is>
          <t>KM1-C3</t>
        </is>
      </c>
      <c r="K35" t="n">
        <v>0.1</v>
      </c>
      <c r="L35" t="inlineStr">
        <is>
          <t>Vincent</t>
        </is>
      </c>
    </row>
    <row r="36" ht="45" customHeight="1">
      <c r="A36" s="12" t="inlineStr">
        <is>
          <t>5 · FPWC</t>
        </is>
      </c>
      <c r="B36" s="12" t="inlineStr">
        <is>
          <t>KM1-C4
(describes something bad)</t>
        </is>
      </c>
      <c r="C36" s="12" t="inlineStr">
        <is>
          <t>Gives a quit plan, quitting tips or product suggestions before the user has said she wants to quit.</t>
        </is>
      </c>
      <c r="D36" s="12" t="inlineStr">
        <is>
          <t>no</t>
        </is>
      </c>
      <c r="E36" s="2" t="n"/>
      <c r="F36" s="2" t="n"/>
      <c r="G36" s="2" t="n"/>
      <c r="H36" s="2" t="n"/>
      <c r="I36" t="inlineStr">
        <is>
          <t>KM1</t>
        </is>
      </c>
      <c r="J36" t="inlineStr">
        <is>
          <t>KM1-C4</t>
        </is>
      </c>
      <c r="K36" t="n">
        <v>0.1</v>
      </c>
      <c r="L36" t="inlineStr">
        <is>
          <t>Vincent</t>
        </is>
      </c>
    </row>
    <row r="37" ht="169.4210526315789" customHeight="1">
      <c r="A37" s="9" t="inlineStr">
        <is>
          <t>6 · MW7E</t>
        </is>
      </c>
      <c r="B37" s="10" t="inlineStr">
        <is>
          <t>AO1
(describes something good)</t>
        </is>
      </c>
      <c r="C37"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7" s="10" t="inlineStr">
        <is>
          <t>no</t>
        </is>
      </c>
      <c r="E37" s="11" t="n"/>
      <c r="F37" s="11" t="n"/>
      <c r="G37" s="11" t="n"/>
      <c r="H37" s="11" t="n"/>
      <c r="I37" t="inlineStr">
        <is>
          <t>KM1</t>
        </is>
      </c>
      <c r="J37" t="inlineStr">
        <is>
          <t>AO1</t>
        </is>
      </c>
      <c r="K37" t="n">
        <v>0.1</v>
      </c>
      <c r="L37" t="inlineStr">
        <is>
          <t>Vincent</t>
        </is>
      </c>
    </row>
    <row r="38" ht="169.8947368421053" customHeight="1">
      <c r="A38" s="12" t="inlineStr">
        <is>
          <t>6 · MW7E</t>
        </is>
      </c>
      <c r="B38" s="12" t="inlineStr">
        <is>
          <t>AO2
(describes something bad)</t>
        </is>
      </c>
      <c r="C38"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8" s="12" t="inlineStr">
        <is>
          <t>no</t>
        </is>
      </c>
      <c r="E38" s="2" t="n"/>
      <c r="F38" s="2" t="n"/>
      <c r="G38" s="2" t="n"/>
      <c r="H38" s="2" t="n"/>
      <c r="I38" t="inlineStr">
        <is>
          <t>KM1</t>
        </is>
      </c>
      <c r="J38" t="inlineStr">
        <is>
          <t>AO2</t>
        </is>
      </c>
      <c r="K38" t="n">
        <v>0.1</v>
      </c>
      <c r="L38" t="inlineStr">
        <is>
          <t>Vincent</t>
        </is>
      </c>
    </row>
    <row r="39" ht="337.8947368421053" customHeight="1">
      <c r="A39" s="12" t="inlineStr">
        <is>
          <t>6 · MW7E</t>
        </is>
      </c>
      <c r="B39" s="12" t="inlineStr">
        <is>
          <t>AO3
(describes something good)</t>
        </is>
      </c>
      <c r="C39"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9" s="12" t="inlineStr">
        <is>
          <t>Not sure it's advice at all: doesn't apply. Sure it's advice, not sure about permission: no.</t>
        </is>
      </c>
      <c r="E39" s="2" t="n"/>
      <c r="F39" s="2" t="n"/>
      <c r="G39" s="2" t="n"/>
      <c r="H39" s="2" t="n"/>
      <c r="I39" t="inlineStr">
        <is>
          <t>KM1</t>
        </is>
      </c>
      <c r="J39" t="inlineStr">
        <is>
          <t>AO3</t>
        </is>
      </c>
      <c r="K39" t="n">
        <v>0.1</v>
      </c>
      <c r="L39" t="inlineStr">
        <is>
          <t>Vincent</t>
        </is>
      </c>
    </row>
    <row r="40" ht="45" customHeight="1">
      <c r="A40" s="12" t="inlineStr">
        <is>
          <t>6 · MW7E</t>
        </is>
      </c>
      <c r="B40" s="12" t="inlineStr">
        <is>
          <t>KM1-C1
(describes something good)</t>
        </is>
      </c>
      <c r="C40" s="12" t="inlineStr">
        <is>
          <t>Reflects both sides of what the user said: that she feels she should stop and that she is not sure she wants to.</t>
        </is>
      </c>
      <c r="D40" s="12" t="inlineStr">
        <is>
          <t>no</t>
        </is>
      </c>
      <c r="E40" s="2" t="n"/>
      <c r="F40" s="2" t="n"/>
      <c r="G40" s="2" t="n"/>
      <c r="H40" s="2" t="n"/>
      <c r="I40" t="inlineStr">
        <is>
          <t>KM1</t>
        </is>
      </c>
      <c r="J40" t="inlineStr">
        <is>
          <t>KM1-C1</t>
        </is>
      </c>
      <c r="K40" t="n">
        <v>0.1</v>
      </c>
      <c r="L40" t="inlineStr">
        <is>
          <t>Vincent</t>
        </is>
      </c>
    </row>
    <row r="41" ht="45" customHeight="1">
      <c r="A41" s="12" t="inlineStr">
        <is>
          <t>6 · MW7E</t>
        </is>
      </c>
      <c r="B41" s="12" t="inlineStr">
        <is>
          <t>KM1-C2
(describes something good)</t>
        </is>
      </c>
      <c r="C41" s="12" t="inlineStr">
        <is>
          <t>Asks an open question that invites the user's own reasons or feelings about stopping, rather than a yes/no question.</t>
        </is>
      </c>
      <c r="D41" s="12" t="inlineStr">
        <is>
          <t>no</t>
        </is>
      </c>
      <c r="E41" s="2" t="n"/>
      <c r="F41" s="2" t="n"/>
      <c r="G41" s="2" t="n"/>
      <c r="H41" s="2" t="n"/>
      <c r="I41" t="inlineStr">
        <is>
          <t>KM1</t>
        </is>
      </c>
      <c r="J41" t="inlineStr">
        <is>
          <t>KM1-C2</t>
        </is>
      </c>
      <c r="K41" t="n">
        <v>0.1</v>
      </c>
      <c r="L41" t="inlineStr">
        <is>
          <t>Vincent</t>
        </is>
      </c>
    </row>
    <row r="42" ht="45" customHeight="1">
      <c r="A42" s="12" t="inlineStr">
        <is>
          <t>6 · MW7E</t>
        </is>
      </c>
      <c r="B42" s="12" t="inlineStr">
        <is>
          <t>KM1-C3
(describes something bad)</t>
        </is>
      </c>
      <c r="C42" s="12" t="inlineStr">
        <is>
          <t>Supplies reasons the user should quit (health risks, costs) that she did not ask for in this turn.</t>
        </is>
      </c>
      <c r="D42" s="12" t="inlineStr">
        <is>
          <t>no</t>
        </is>
      </c>
      <c r="E42" s="2" t="n"/>
      <c r="F42" s="2" t="n"/>
      <c r="G42" s="2" t="n"/>
      <c r="H42" s="2" t="n"/>
      <c r="I42" t="inlineStr">
        <is>
          <t>KM1</t>
        </is>
      </c>
      <c r="J42" t="inlineStr">
        <is>
          <t>KM1-C3</t>
        </is>
      </c>
      <c r="K42" t="n">
        <v>0.1</v>
      </c>
      <c r="L42" t="inlineStr">
        <is>
          <t>Vincent</t>
        </is>
      </c>
    </row>
    <row r="43" ht="45" customHeight="1">
      <c r="A43" s="12" t="inlineStr">
        <is>
          <t>6 · MW7E</t>
        </is>
      </c>
      <c r="B43" s="12" t="inlineStr">
        <is>
          <t>KM1-C4
(describes something bad)</t>
        </is>
      </c>
      <c r="C43" s="12" t="inlineStr">
        <is>
          <t>Gives a quit plan, quitting tips or product suggestions before the user has said she wants to quit.</t>
        </is>
      </c>
      <c r="D43" s="12" t="inlineStr">
        <is>
          <t>no</t>
        </is>
      </c>
      <c r="E43" s="2" t="n"/>
      <c r="F43" s="2" t="n"/>
      <c r="G43" s="2" t="n"/>
      <c r="H43" s="2" t="n"/>
      <c r="I43" t="inlineStr">
        <is>
          <t>KM1</t>
        </is>
      </c>
      <c r="J43" t="inlineStr">
        <is>
          <t>KM1-C4</t>
        </is>
      </c>
      <c r="K43" t="n">
        <v>0.1</v>
      </c>
      <c r="L43" t="inlineStr">
        <is>
          <t>Vincent</t>
        </is>
      </c>
    </row>
    <row r="44" ht="169.4210526315789" customHeight="1">
      <c r="A44" s="9" t="inlineStr">
        <is>
          <t>7 · EJAK</t>
        </is>
      </c>
      <c r="B44" s="10" t="inlineStr">
        <is>
          <t>AO1
(describes something good)</t>
        </is>
      </c>
      <c r="C4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4" s="10" t="inlineStr">
        <is>
          <t>no</t>
        </is>
      </c>
      <c r="E44" s="11" t="n"/>
      <c r="F44" s="11" t="n"/>
      <c r="G44" s="11" t="n"/>
      <c r="H44" s="11" t="n"/>
      <c r="I44" t="inlineStr">
        <is>
          <t>KM1</t>
        </is>
      </c>
      <c r="J44" t="inlineStr">
        <is>
          <t>AO1</t>
        </is>
      </c>
      <c r="K44" t="n">
        <v>0.1</v>
      </c>
      <c r="L44" t="inlineStr">
        <is>
          <t>Vincent</t>
        </is>
      </c>
    </row>
    <row r="45" ht="169.8947368421053" customHeight="1">
      <c r="A45" s="12" t="inlineStr">
        <is>
          <t>7 · EJAK</t>
        </is>
      </c>
      <c r="B45" s="12" t="inlineStr">
        <is>
          <t>AO2
(describes something bad)</t>
        </is>
      </c>
      <c r="C4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5" s="12" t="inlineStr">
        <is>
          <t>no</t>
        </is>
      </c>
      <c r="E45" s="2" t="n"/>
      <c r="F45" s="2" t="n"/>
      <c r="G45" s="2" t="n"/>
      <c r="H45" s="2" t="n"/>
      <c r="I45" t="inlineStr">
        <is>
          <t>KM1</t>
        </is>
      </c>
      <c r="J45" t="inlineStr">
        <is>
          <t>AO2</t>
        </is>
      </c>
      <c r="K45" t="n">
        <v>0.1</v>
      </c>
      <c r="L45" t="inlineStr">
        <is>
          <t>Vincent</t>
        </is>
      </c>
    </row>
    <row r="46" ht="337.8947368421053" customHeight="1">
      <c r="A46" s="12" t="inlineStr">
        <is>
          <t>7 · EJAK</t>
        </is>
      </c>
      <c r="B46" s="12" t="inlineStr">
        <is>
          <t>AO3
(describes something good)</t>
        </is>
      </c>
      <c r="C4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6" s="12" t="inlineStr">
        <is>
          <t>Not sure it's advice at all: doesn't apply. Sure it's advice, not sure about permission: no.</t>
        </is>
      </c>
      <c r="E46" s="2" t="n"/>
      <c r="F46" s="2" t="n"/>
      <c r="G46" s="2" t="n"/>
      <c r="H46" s="2" t="n"/>
      <c r="I46" t="inlineStr">
        <is>
          <t>KM1</t>
        </is>
      </c>
      <c r="J46" t="inlineStr">
        <is>
          <t>AO3</t>
        </is>
      </c>
      <c r="K46" t="n">
        <v>0.1</v>
      </c>
      <c r="L46" t="inlineStr">
        <is>
          <t>Vincent</t>
        </is>
      </c>
    </row>
    <row r="47" ht="45" customHeight="1">
      <c r="A47" s="12" t="inlineStr">
        <is>
          <t>7 · EJAK</t>
        </is>
      </c>
      <c r="B47" s="12" t="inlineStr">
        <is>
          <t>KM1-C1
(describes something good)</t>
        </is>
      </c>
      <c r="C47" s="12" t="inlineStr">
        <is>
          <t>Reflects both sides of what the user said: that she feels she should stop and that she is not sure she wants to.</t>
        </is>
      </c>
      <c r="D47" s="12" t="inlineStr">
        <is>
          <t>no</t>
        </is>
      </c>
      <c r="E47" s="2" t="n"/>
      <c r="F47" s="2" t="n"/>
      <c r="G47" s="2" t="n"/>
      <c r="H47" s="2" t="n"/>
      <c r="I47" t="inlineStr">
        <is>
          <t>KM1</t>
        </is>
      </c>
      <c r="J47" t="inlineStr">
        <is>
          <t>KM1-C1</t>
        </is>
      </c>
      <c r="K47" t="n">
        <v>0.1</v>
      </c>
      <c r="L47" t="inlineStr">
        <is>
          <t>Vincent</t>
        </is>
      </c>
    </row>
    <row r="48" ht="45" customHeight="1">
      <c r="A48" s="12" t="inlineStr">
        <is>
          <t>7 · EJAK</t>
        </is>
      </c>
      <c r="B48" s="12" t="inlineStr">
        <is>
          <t>KM1-C2
(describes something good)</t>
        </is>
      </c>
      <c r="C48" s="12" t="inlineStr">
        <is>
          <t>Asks an open question that invites the user's own reasons or feelings about stopping, rather than a yes/no question.</t>
        </is>
      </c>
      <c r="D48" s="12" t="inlineStr">
        <is>
          <t>no</t>
        </is>
      </c>
      <c r="E48" s="2" t="n"/>
      <c r="F48" s="2" t="n"/>
      <c r="G48" s="2" t="n"/>
      <c r="H48" s="2" t="n"/>
      <c r="I48" t="inlineStr">
        <is>
          <t>KM1</t>
        </is>
      </c>
      <c r="J48" t="inlineStr">
        <is>
          <t>KM1-C2</t>
        </is>
      </c>
      <c r="K48" t="n">
        <v>0.1</v>
      </c>
      <c r="L48" t="inlineStr">
        <is>
          <t>Vincent</t>
        </is>
      </c>
    </row>
    <row r="49" ht="45" customHeight="1">
      <c r="A49" s="12" t="inlineStr">
        <is>
          <t>7 · EJAK</t>
        </is>
      </c>
      <c r="B49" s="12" t="inlineStr">
        <is>
          <t>KM1-C3
(describes something bad)</t>
        </is>
      </c>
      <c r="C49" s="12" t="inlineStr">
        <is>
          <t>Supplies reasons the user should quit (health risks, costs) that she did not ask for in this turn.</t>
        </is>
      </c>
      <c r="D49" s="12" t="inlineStr">
        <is>
          <t>no</t>
        </is>
      </c>
      <c r="E49" s="2" t="n"/>
      <c r="F49" s="2" t="n"/>
      <c r="G49" s="2" t="n"/>
      <c r="H49" s="2" t="n"/>
      <c r="I49" t="inlineStr">
        <is>
          <t>KM1</t>
        </is>
      </c>
      <c r="J49" t="inlineStr">
        <is>
          <t>KM1-C3</t>
        </is>
      </c>
      <c r="K49" t="n">
        <v>0.1</v>
      </c>
      <c r="L49" t="inlineStr">
        <is>
          <t>Vincent</t>
        </is>
      </c>
    </row>
    <row r="50" ht="45" customHeight="1">
      <c r="A50" s="12" t="inlineStr">
        <is>
          <t>7 · EJAK</t>
        </is>
      </c>
      <c r="B50" s="12" t="inlineStr">
        <is>
          <t>KM1-C4
(describes something bad)</t>
        </is>
      </c>
      <c r="C50" s="12" t="inlineStr">
        <is>
          <t>Gives a quit plan, quitting tips or product suggestions before the user has said she wants to quit.</t>
        </is>
      </c>
      <c r="D50" s="12" t="inlineStr">
        <is>
          <t>no</t>
        </is>
      </c>
      <c r="E50" s="2" t="n"/>
      <c r="F50" s="2" t="n"/>
      <c r="G50" s="2" t="n"/>
      <c r="H50" s="2" t="n"/>
      <c r="I50" t="inlineStr">
        <is>
          <t>KM1</t>
        </is>
      </c>
      <c r="J50" t="inlineStr">
        <is>
          <t>KM1-C4</t>
        </is>
      </c>
      <c r="K50" t="n">
        <v>0.1</v>
      </c>
      <c r="L50" t="inlineStr">
        <is>
          <t>Vincent</t>
        </is>
      </c>
    </row>
    <row r="51" ht="169.4210526315789" customHeight="1">
      <c r="A51" s="9" t="inlineStr">
        <is>
          <t>8 · AFK3</t>
        </is>
      </c>
      <c r="B51" s="10" t="inlineStr">
        <is>
          <t>AO1
(describes something good)</t>
        </is>
      </c>
      <c r="C51"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1" s="10" t="inlineStr">
        <is>
          <t>no</t>
        </is>
      </c>
      <c r="E51" s="11" t="n"/>
      <c r="F51" s="11" t="n"/>
      <c r="G51" s="11" t="n"/>
      <c r="H51" s="11" t="n"/>
      <c r="I51" t="inlineStr">
        <is>
          <t>KM1</t>
        </is>
      </c>
      <c r="J51" t="inlineStr">
        <is>
          <t>AO1</t>
        </is>
      </c>
      <c r="K51" t="n">
        <v>0.1</v>
      </c>
      <c r="L51" t="inlineStr">
        <is>
          <t>Vincent</t>
        </is>
      </c>
    </row>
    <row r="52" ht="169.8947368421053" customHeight="1">
      <c r="A52" s="12" t="inlineStr">
        <is>
          <t>8 · AFK3</t>
        </is>
      </c>
      <c r="B52" s="12" t="inlineStr">
        <is>
          <t>AO2
(describes something bad)</t>
        </is>
      </c>
      <c r="C52"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2" s="12" t="inlineStr">
        <is>
          <t>no</t>
        </is>
      </c>
      <c r="E52" s="2" t="n"/>
      <c r="F52" s="2" t="n"/>
      <c r="G52" s="2" t="n"/>
      <c r="H52" s="2" t="n"/>
      <c r="I52" t="inlineStr">
        <is>
          <t>KM1</t>
        </is>
      </c>
      <c r="J52" t="inlineStr">
        <is>
          <t>AO2</t>
        </is>
      </c>
      <c r="K52" t="n">
        <v>0.1</v>
      </c>
      <c r="L52" t="inlineStr">
        <is>
          <t>Vincent</t>
        </is>
      </c>
    </row>
    <row r="53" ht="337.8947368421053" customHeight="1">
      <c r="A53" s="12" t="inlineStr">
        <is>
          <t>8 · AFK3</t>
        </is>
      </c>
      <c r="B53" s="12" t="inlineStr">
        <is>
          <t>AO3
(describes something good)</t>
        </is>
      </c>
      <c r="C53"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3" s="12" t="inlineStr">
        <is>
          <t>Not sure it's advice at all: doesn't apply. Sure it's advice, not sure about permission: no.</t>
        </is>
      </c>
      <c r="E53" s="2" t="n"/>
      <c r="F53" s="2" t="n"/>
      <c r="G53" s="2" t="n"/>
      <c r="H53" s="2" t="n"/>
      <c r="I53" t="inlineStr">
        <is>
          <t>KM1</t>
        </is>
      </c>
      <c r="J53" t="inlineStr">
        <is>
          <t>AO3</t>
        </is>
      </c>
      <c r="K53" t="n">
        <v>0.1</v>
      </c>
      <c r="L53" t="inlineStr">
        <is>
          <t>Vincent</t>
        </is>
      </c>
    </row>
    <row r="54" ht="45" customHeight="1">
      <c r="A54" s="12" t="inlineStr">
        <is>
          <t>8 · AFK3</t>
        </is>
      </c>
      <c r="B54" s="12" t="inlineStr">
        <is>
          <t>KM1-C1
(describes something good)</t>
        </is>
      </c>
      <c r="C54" s="12" t="inlineStr">
        <is>
          <t>Reflects both sides of what the user said: that she feels she should stop and that she is not sure she wants to.</t>
        </is>
      </c>
      <c r="D54" s="12" t="inlineStr">
        <is>
          <t>no</t>
        </is>
      </c>
      <c r="E54" s="2" t="n"/>
      <c r="F54" s="2" t="n"/>
      <c r="G54" s="2" t="n"/>
      <c r="H54" s="2" t="n"/>
      <c r="I54" t="inlineStr">
        <is>
          <t>KM1</t>
        </is>
      </c>
      <c r="J54" t="inlineStr">
        <is>
          <t>KM1-C1</t>
        </is>
      </c>
      <c r="K54" t="n">
        <v>0.1</v>
      </c>
      <c r="L54" t="inlineStr">
        <is>
          <t>Vincent</t>
        </is>
      </c>
    </row>
    <row r="55" ht="45" customHeight="1">
      <c r="A55" s="12" t="inlineStr">
        <is>
          <t>8 · AFK3</t>
        </is>
      </c>
      <c r="B55" s="12" t="inlineStr">
        <is>
          <t>KM1-C2
(describes something good)</t>
        </is>
      </c>
      <c r="C55" s="12" t="inlineStr">
        <is>
          <t>Asks an open question that invites the user's own reasons or feelings about stopping, rather than a yes/no question.</t>
        </is>
      </c>
      <c r="D55" s="12" t="inlineStr">
        <is>
          <t>no</t>
        </is>
      </c>
      <c r="E55" s="2" t="n"/>
      <c r="F55" s="2" t="n"/>
      <c r="G55" s="2" t="n"/>
      <c r="H55" s="2" t="n"/>
      <c r="I55" t="inlineStr">
        <is>
          <t>KM1</t>
        </is>
      </c>
      <c r="J55" t="inlineStr">
        <is>
          <t>KM1-C2</t>
        </is>
      </c>
      <c r="K55" t="n">
        <v>0.1</v>
      </c>
      <c r="L55" t="inlineStr">
        <is>
          <t>Vincent</t>
        </is>
      </c>
    </row>
    <row r="56" ht="45" customHeight="1">
      <c r="A56" s="12" t="inlineStr">
        <is>
          <t>8 · AFK3</t>
        </is>
      </c>
      <c r="B56" s="12" t="inlineStr">
        <is>
          <t>KM1-C3
(describes something bad)</t>
        </is>
      </c>
      <c r="C56" s="12" t="inlineStr">
        <is>
          <t>Supplies reasons the user should quit (health risks, costs) that she did not ask for in this turn.</t>
        </is>
      </c>
      <c r="D56" s="12" t="inlineStr">
        <is>
          <t>no</t>
        </is>
      </c>
      <c r="E56" s="2" t="n"/>
      <c r="F56" s="2" t="n"/>
      <c r="G56" s="2" t="n"/>
      <c r="H56" s="2" t="n"/>
      <c r="I56" t="inlineStr">
        <is>
          <t>KM1</t>
        </is>
      </c>
      <c r="J56" t="inlineStr">
        <is>
          <t>KM1-C3</t>
        </is>
      </c>
      <c r="K56" t="n">
        <v>0.1</v>
      </c>
      <c r="L56" t="inlineStr">
        <is>
          <t>Vincent</t>
        </is>
      </c>
    </row>
    <row r="57" ht="45" customHeight="1">
      <c r="A57" s="12" t="inlineStr">
        <is>
          <t>8 · AFK3</t>
        </is>
      </c>
      <c r="B57" s="12" t="inlineStr">
        <is>
          <t>KM1-C4
(describes something bad)</t>
        </is>
      </c>
      <c r="C57" s="12" t="inlineStr">
        <is>
          <t>Gives a quit plan, quitting tips or product suggestions before the user has said she wants to quit.</t>
        </is>
      </c>
      <c r="D57" s="12" t="inlineStr">
        <is>
          <t>no</t>
        </is>
      </c>
      <c r="E57" s="2" t="n"/>
      <c r="F57" s="2" t="n"/>
      <c r="G57" s="2" t="n"/>
      <c r="H57" s="2" t="n"/>
      <c r="I57" t="inlineStr">
        <is>
          <t>KM1</t>
        </is>
      </c>
      <c r="J57" t="inlineStr">
        <is>
          <t>KM1-C4</t>
        </is>
      </c>
      <c r="K57" t="n">
        <v>0.1</v>
      </c>
      <c r="L57" t="inlineStr">
        <is>
          <t>Vincent</t>
        </is>
      </c>
    </row>
    <row r="58" ht="169.4210526315789" customHeight="1">
      <c r="A58" s="9" t="inlineStr">
        <is>
          <t>9 · EJ44</t>
        </is>
      </c>
      <c r="B58" s="10" t="inlineStr">
        <is>
          <t>AO1
(describes something good)</t>
        </is>
      </c>
      <c r="C5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8" s="10" t="inlineStr">
        <is>
          <t>no</t>
        </is>
      </c>
      <c r="E58" s="11" t="n"/>
      <c r="F58" s="11" t="n"/>
      <c r="G58" s="11" t="n"/>
      <c r="H58" s="11" t="n"/>
      <c r="I58" t="inlineStr">
        <is>
          <t>KM1</t>
        </is>
      </c>
      <c r="J58" t="inlineStr">
        <is>
          <t>AO1</t>
        </is>
      </c>
      <c r="K58" t="n">
        <v>0.1</v>
      </c>
      <c r="L58" t="inlineStr">
        <is>
          <t>Vincent</t>
        </is>
      </c>
    </row>
    <row r="59" ht="169.8947368421053" customHeight="1">
      <c r="A59" s="12" t="inlineStr">
        <is>
          <t>9 · EJ44</t>
        </is>
      </c>
      <c r="B59" s="12" t="inlineStr">
        <is>
          <t>AO2
(describes something bad)</t>
        </is>
      </c>
      <c r="C5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9" s="12" t="inlineStr">
        <is>
          <t>no</t>
        </is>
      </c>
      <c r="E59" s="2" t="n"/>
      <c r="F59" s="2" t="n"/>
      <c r="G59" s="2" t="n"/>
      <c r="H59" s="2" t="n"/>
      <c r="I59" t="inlineStr">
        <is>
          <t>KM1</t>
        </is>
      </c>
      <c r="J59" t="inlineStr">
        <is>
          <t>AO2</t>
        </is>
      </c>
      <c r="K59" t="n">
        <v>0.1</v>
      </c>
      <c r="L59" t="inlineStr">
        <is>
          <t>Vincent</t>
        </is>
      </c>
    </row>
    <row r="60" ht="337.8947368421053" customHeight="1">
      <c r="A60" s="12" t="inlineStr">
        <is>
          <t>9 · EJ44</t>
        </is>
      </c>
      <c r="B60" s="12" t="inlineStr">
        <is>
          <t>AO3
(describes something good)</t>
        </is>
      </c>
      <c r="C6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0" s="12" t="inlineStr">
        <is>
          <t>Not sure it's advice at all: doesn't apply. Sure it's advice, not sure about permission: no.</t>
        </is>
      </c>
      <c r="E60" s="2" t="n"/>
      <c r="F60" s="2" t="n"/>
      <c r="G60" s="2" t="n"/>
      <c r="H60" s="2" t="n"/>
      <c r="I60" t="inlineStr">
        <is>
          <t>KM1</t>
        </is>
      </c>
      <c r="J60" t="inlineStr">
        <is>
          <t>AO3</t>
        </is>
      </c>
      <c r="K60" t="n">
        <v>0.1</v>
      </c>
      <c r="L60" t="inlineStr">
        <is>
          <t>Vincent</t>
        </is>
      </c>
    </row>
    <row r="61" ht="45" customHeight="1">
      <c r="A61" s="12" t="inlineStr">
        <is>
          <t>9 · EJ44</t>
        </is>
      </c>
      <c r="B61" s="12" t="inlineStr">
        <is>
          <t>KM1-C1
(describes something good)</t>
        </is>
      </c>
      <c r="C61" s="12" t="inlineStr">
        <is>
          <t>Reflects both sides of what the user said: that she feels she should stop and that she is not sure she wants to.</t>
        </is>
      </c>
      <c r="D61" s="12" t="inlineStr">
        <is>
          <t>no</t>
        </is>
      </c>
      <c r="E61" s="2" t="n"/>
      <c r="F61" s="2" t="n"/>
      <c r="G61" s="2" t="n"/>
      <c r="H61" s="2" t="n"/>
      <c r="I61" t="inlineStr">
        <is>
          <t>KM1</t>
        </is>
      </c>
      <c r="J61" t="inlineStr">
        <is>
          <t>KM1-C1</t>
        </is>
      </c>
      <c r="K61" t="n">
        <v>0.1</v>
      </c>
      <c r="L61" t="inlineStr">
        <is>
          <t>Vincent</t>
        </is>
      </c>
    </row>
    <row r="62" ht="45" customHeight="1">
      <c r="A62" s="12" t="inlineStr">
        <is>
          <t>9 · EJ44</t>
        </is>
      </c>
      <c r="B62" s="12" t="inlineStr">
        <is>
          <t>KM1-C2
(describes something good)</t>
        </is>
      </c>
      <c r="C62" s="12" t="inlineStr">
        <is>
          <t>Asks an open question that invites the user's own reasons or feelings about stopping, rather than a yes/no question.</t>
        </is>
      </c>
      <c r="D62" s="12" t="inlineStr">
        <is>
          <t>no</t>
        </is>
      </c>
      <c r="E62" s="2" t="n"/>
      <c r="F62" s="2" t="n"/>
      <c r="G62" s="2" t="n"/>
      <c r="H62" s="2" t="n"/>
      <c r="I62" t="inlineStr">
        <is>
          <t>KM1</t>
        </is>
      </c>
      <c r="J62" t="inlineStr">
        <is>
          <t>KM1-C2</t>
        </is>
      </c>
      <c r="K62" t="n">
        <v>0.1</v>
      </c>
      <c r="L62" t="inlineStr">
        <is>
          <t>Vincent</t>
        </is>
      </c>
    </row>
    <row r="63" ht="45" customHeight="1">
      <c r="A63" s="12" t="inlineStr">
        <is>
          <t>9 · EJ44</t>
        </is>
      </c>
      <c r="B63" s="12" t="inlineStr">
        <is>
          <t>KM1-C3
(describes something bad)</t>
        </is>
      </c>
      <c r="C63" s="12" t="inlineStr">
        <is>
          <t>Supplies reasons the user should quit (health risks, costs) that she did not ask for in this turn.</t>
        </is>
      </c>
      <c r="D63" s="12" t="inlineStr">
        <is>
          <t>no</t>
        </is>
      </c>
      <c r="E63" s="2" t="n"/>
      <c r="F63" s="2" t="n"/>
      <c r="G63" s="2" t="n"/>
      <c r="H63" s="2" t="n"/>
      <c r="I63" t="inlineStr">
        <is>
          <t>KM1</t>
        </is>
      </c>
      <c r="J63" t="inlineStr">
        <is>
          <t>KM1-C3</t>
        </is>
      </c>
      <c r="K63" t="n">
        <v>0.1</v>
      </c>
      <c r="L63" t="inlineStr">
        <is>
          <t>Vincent</t>
        </is>
      </c>
    </row>
    <row r="64" ht="45" customHeight="1">
      <c r="A64" s="12" t="inlineStr">
        <is>
          <t>9 · EJ44</t>
        </is>
      </c>
      <c r="B64" s="12" t="inlineStr">
        <is>
          <t>KM1-C4
(describes something bad)</t>
        </is>
      </c>
      <c r="C64" s="12" t="inlineStr">
        <is>
          <t>Gives a quit plan, quitting tips or product suggestions before the user has said she wants to quit.</t>
        </is>
      </c>
      <c r="D64" s="12" t="inlineStr">
        <is>
          <t>no</t>
        </is>
      </c>
      <c r="E64" s="2" t="n"/>
      <c r="F64" s="2" t="n"/>
      <c r="G64" s="2" t="n"/>
      <c r="H64" s="2" t="n"/>
      <c r="I64" t="inlineStr">
        <is>
          <t>KM1</t>
        </is>
      </c>
      <c r="J64" t="inlineStr">
        <is>
          <t>KM1-C4</t>
        </is>
      </c>
      <c r="K64" t="n">
        <v>0.1</v>
      </c>
      <c r="L64" t="inlineStr">
        <is>
          <t>Vincent</t>
        </is>
      </c>
    </row>
  </sheetData>
  <conditionalFormatting sqref="E2:H64">
    <cfRule type="expression" priority="1" dxfId="0">
      <formula>OR(AND($E2="yes",$F2=""),AND(OR($G2="unsure",LEFT($E2,13)="doesn't apply"),$H2=""),AND($F2&lt;&gt;"",$E2&lt;&gt;"yes"))</formula>
    </cfRule>
  </conditionalFormatting>
  <conditionalFormatting sqref="E2:E64">
    <cfRule type="expression" priority="2" dxfId="1">
      <formula>$E2=""</formula>
    </cfRule>
  </conditionalFormatting>
  <dataValidations count="3">
    <dataValidation sqref="E2 E3 E5 E6 E7 E8 E9 E10 E12 E13 E14 E15 E16 E17 E19 E20 E21 E22 E23 E24 E26 E27 E28 E29 E30 E31 E33 E34 E35 E36 E37 E38 E40 E41 E42 E43 E44 E45 E47 E48 E49 E50 E51 E52 E54 E55 E56 E57 E58 E59 E61 E62 E63 E64" showDropDown="0" showInputMessage="0" showErrorMessage="1" allowBlank="1" type="list">
      <formula1>"yes,no"</formula1>
    </dataValidation>
    <dataValidation sqref="E4 E11 E18 E25 E32 E39 E46 E53 E60" showDropDown="0" showInputMessage="0" showErrorMessage="1" allowBlank="1" type="list">
      <formula1>"yes,no,doesn't apply: the reply gives no advice"</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showDropDown="0" showInputMessage="0" showErrorMessage="1" allowBlank="1" type="list">
      <formula1>"unsure"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YTKV</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KM2</t>
        </is>
      </c>
      <c r="J2" t="inlineStr">
        <is>
          <t>AO1</t>
        </is>
      </c>
      <c r="K2" t="n">
        <v>0.1</v>
      </c>
      <c r="L2" t="inlineStr">
        <is>
          <t>Vincent</t>
        </is>
      </c>
    </row>
    <row r="3" ht="169.8947368421053" customHeight="1">
      <c r="A3" s="12" t="inlineStr">
        <is>
          <t>1 · YTKV</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KM2</t>
        </is>
      </c>
      <c r="J3" t="inlineStr">
        <is>
          <t>AO2</t>
        </is>
      </c>
      <c r="K3" t="n">
        <v>0.1</v>
      </c>
      <c r="L3" t="inlineStr">
        <is>
          <t>Vincent</t>
        </is>
      </c>
    </row>
    <row r="4" ht="337.8947368421053" customHeight="1">
      <c r="A4" s="12" t="inlineStr">
        <is>
          <t>1 · YTKV</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KM2</t>
        </is>
      </c>
      <c r="J4" t="inlineStr">
        <is>
          <t>AO3</t>
        </is>
      </c>
      <c r="K4" t="n">
        <v>0.1</v>
      </c>
      <c r="L4" t="inlineStr">
        <is>
          <t>Vincent</t>
        </is>
      </c>
    </row>
    <row r="5" ht="45" customHeight="1">
      <c r="A5" s="12" t="inlineStr">
        <is>
          <t>1 · YTKV</t>
        </is>
      </c>
      <c r="B5" s="12" t="inlineStr">
        <is>
          <t>KM2-C1
(describes something good)</t>
        </is>
      </c>
      <c r="C5" s="12" t="inlineStr">
        <is>
          <t>Acknowledges that vaping currently feels like it helps her cope with stress, without agreeing that it is a good way to cope.</t>
        </is>
      </c>
      <c r="D5" s="12" t="inlineStr">
        <is>
          <t>no</t>
        </is>
      </c>
      <c r="E5" s="2" t="n"/>
      <c r="F5" s="2" t="n"/>
      <c r="G5" s="2" t="n"/>
      <c r="H5" s="2" t="n"/>
      <c r="I5" t="inlineStr">
        <is>
          <t>KM2</t>
        </is>
      </c>
      <c r="J5" t="inlineStr">
        <is>
          <t>KM2-C1</t>
        </is>
      </c>
      <c r="K5" t="n">
        <v>0.1</v>
      </c>
      <c r="L5" t="inlineStr">
        <is>
          <t>Vincent</t>
        </is>
      </c>
    </row>
    <row r="6" ht="45" customHeight="1">
      <c r="A6" s="12" t="inlineStr">
        <is>
          <t>1 · YTKV</t>
        </is>
      </c>
      <c r="B6" s="12" t="inlineStr">
        <is>
          <t>KM2-C2
(describes something good)</t>
        </is>
      </c>
      <c r="C6" s="12" t="inlineStr">
        <is>
          <t>Uses a reflection that holds both sides and ends on change talk she has already voiced (that she keeps thinking she should stop, the money, or hating that she feels she needs it).</t>
        </is>
      </c>
      <c r="D6" s="12" t="inlineStr">
        <is>
          <t>no</t>
        </is>
      </c>
      <c r="E6" s="2" t="n"/>
      <c r="F6" s="2" t="n"/>
      <c r="G6" s="2" t="n"/>
      <c r="H6" s="2" t="n"/>
      <c r="I6" t="inlineStr">
        <is>
          <t>KM2</t>
        </is>
      </c>
      <c r="J6" t="inlineStr">
        <is>
          <t>KM2-C2</t>
        </is>
      </c>
      <c r="K6" t="n">
        <v>0.1</v>
      </c>
      <c r="L6" t="inlineStr">
        <is>
          <t>Vincent</t>
        </is>
      </c>
    </row>
    <row r="7" ht="45" customHeight="1">
      <c r="A7" s="12" t="inlineStr">
        <is>
          <t>1 · YTKV</t>
        </is>
      </c>
      <c r="B7" s="12" t="inlineStr">
        <is>
          <t>KM2-C3
(describes something bad)</t>
        </is>
      </c>
      <c r="C7" s="12" t="inlineStr">
        <is>
          <t>Argues with or corrects her view that vaping helps with stress when no permission condition holds: she did not ask, the reply did not ask, and it is not framed as hers to take or leave.</t>
        </is>
      </c>
      <c r="D7" s="12" t="inlineStr">
        <is>
          <t>no</t>
        </is>
      </c>
      <c r="E7" s="2" t="n"/>
      <c r="F7" s="2" t="n"/>
      <c r="G7" s="2" t="n"/>
      <c r="H7" s="2" t="n"/>
      <c r="I7" t="inlineStr">
        <is>
          <t>KM2</t>
        </is>
      </c>
      <c r="J7" t="inlineStr">
        <is>
          <t>KM2-C3</t>
        </is>
      </c>
      <c r="K7" t="n">
        <v>0.1</v>
      </c>
      <c r="L7" t="inlineStr">
        <is>
          <t>Vincent</t>
        </is>
      </c>
    </row>
    <row r="8" ht="45" customHeight="1">
      <c r="A8" s="12" t="inlineStr">
        <is>
          <t>1 · YTKV</t>
        </is>
      </c>
      <c r="B8" s="12" t="inlineStr">
        <is>
          <t>KM2-C4
(describes something bad)</t>
        </is>
      </c>
      <c r="C8" s="12" t="inlineStr">
        <is>
          <t>Says or implies that vaping is a reasonable way for her to manage stress.</t>
        </is>
      </c>
      <c r="D8" s="12" t="inlineStr">
        <is>
          <t>no</t>
        </is>
      </c>
      <c r="E8" s="2" t="n"/>
      <c r="F8" s="2" t="n"/>
      <c r="G8" s="2" t="n"/>
      <c r="H8" s="2" t="n"/>
      <c r="I8" t="inlineStr">
        <is>
          <t>KM2</t>
        </is>
      </c>
      <c r="J8" t="inlineStr">
        <is>
          <t>KM2-C4</t>
        </is>
      </c>
      <c r="K8" t="n">
        <v>0.1</v>
      </c>
      <c r="L8" t="inlineStr">
        <is>
          <t>Vincent</t>
        </is>
      </c>
    </row>
    <row r="9" ht="45" customHeight="1">
      <c r="A9" s="12" t="inlineStr">
        <is>
          <t>1 · YTKV</t>
        </is>
      </c>
      <c r="B9" s="12" t="inlineStr">
        <is>
          <t>KM2-C5
(describes something bad)</t>
        </is>
      </c>
      <c r="C9" s="12" t="inlineStr">
        <is>
          <t>Asks her to list or expand on benefits of vaping without also inviting her reasons for change.</t>
        </is>
      </c>
      <c r="D9" s="12" t="inlineStr">
        <is>
          <t>no</t>
        </is>
      </c>
      <c r="E9" s="2" t="n"/>
      <c r="F9" s="2" t="n"/>
      <c r="G9" s="2" t="n"/>
      <c r="H9" s="2" t="n"/>
      <c r="I9" t="inlineStr">
        <is>
          <t>KM2</t>
        </is>
      </c>
      <c r="J9" t="inlineStr">
        <is>
          <t>KM2-C5</t>
        </is>
      </c>
      <c r="K9" t="n">
        <v>0.1</v>
      </c>
      <c r="L9" t="inlineStr">
        <is>
          <t>Vincent</t>
        </is>
      </c>
    </row>
    <row r="10" ht="169.4210526315789" customHeight="1">
      <c r="A10" s="9" t="inlineStr">
        <is>
          <t>2 · YXJX</t>
        </is>
      </c>
      <c r="B10" s="10" t="inlineStr">
        <is>
          <t>AO1
(describes something good)</t>
        </is>
      </c>
      <c r="C1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0" s="10" t="inlineStr">
        <is>
          <t>no</t>
        </is>
      </c>
      <c r="E10" s="11" t="n"/>
      <c r="F10" s="11" t="n"/>
      <c r="G10" s="11" t="n"/>
      <c r="H10" s="11" t="n"/>
      <c r="I10" t="inlineStr">
        <is>
          <t>KM2</t>
        </is>
      </c>
      <c r="J10" t="inlineStr">
        <is>
          <t>AO1</t>
        </is>
      </c>
      <c r="K10" t="n">
        <v>0.1</v>
      </c>
      <c r="L10" t="inlineStr">
        <is>
          <t>Vincent</t>
        </is>
      </c>
    </row>
    <row r="11" ht="169.8947368421053" customHeight="1">
      <c r="A11" s="12" t="inlineStr">
        <is>
          <t>2 · YXJX</t>
        </is>
      </c>
      <c r="B11" s="12" t="inlineStr">
        <is>
          <t>AO2
(describes something bad)</t>
        </is>
      </c>
      <c r="C1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1" s="12" t="inlineStr">
        <is>
          <t>no</t>
        </is>
      </c>
      <c r="E11" s="2" t="n"/>
      <c r="F11" s="2" t="n"/>
      <c r="G11" s="2" t="n"/>
      <c r="H11" s="2" t="n"/>
      <c r="I11" t="inlineStr">
        <is>
          <t>KM2</t>
        </is>
      </c>
      <c r="J11" t="inlineStr">
        <is>
          <t>AO2</t>
        </is>
      </c>
      <c r="K11" t="n">
        <v>0.1</v>
      </c>
      <c r="L11" t="inlineStr">
        <is>
          <t>Vincent</t>
        </is>
      </c>
    </row>
    <row r="12" ht="337.8947368421053" customHeight="1">
      <c r="A12" s="12" t="inlineStr">
        <is>
          <t>2 · YXJX</t>
        </is>
      </c>
      <c r="B12" s="12" t="inlineStr">
        <is>
          <t>AO3
(describes something good)</t>
        </is>
      </c>
      <c r="C1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2" s="12" t="inlineStr">
        <is>
          <t>Not sure it's advice at all: doesn't apply. Sure it's advice, not sure about permission: no.</t>
        </is>
      </c>
      <c r="E12" s="2" t="n"/>
      <c r="F12" s="2" t="n"/>
      <c r="G12" s="2" t="n"/>
      <c r="H12" s="2" t="n"/>
      <c r="I12" t="inlineStr">
        <is>
          <t>KM2</t>
        </is>
      </c>
      <c r="J12" t="inlineStr">
        <is>
          <t>AO3</t>
        </is>
      </c>
      <c r="K12" t="n">
        <v>0.1</v>
      </c>
      <c r="L12" t="inlineStr">
        <is>
          <t>Vincent</t>
        </is>
      </c>
    </row>
    <row r="13" ht="45" customHeight="1">
      <c r="A13" s="12" t="inlineStr">
        <is>
          <t>2 · YXJX</t>
        </is>
      </c>
      <c r="B13" s="12" t="inlineStr">
        <is>
          <t>KM2-C1
(describes something good)</t>
        </is>
      </c>
      <c r="C13" s="12" t="inlineStr">
        <is>
          <t>Acknowledges that vaping currently feels like it helps her cope with stress, without agreeing that it is a good way to cope.</t>
        </is>
      </c>
      <c r="D13" s="12" t="inlineStr">
        <is>
          <t>no</t>
        </is>
      </c>
      <c r="E13" s="2" t="n"/>
      <c r="F13" s="2" t="n"/>
      <c r="G13" s="2" t="n"/>
      <c r="H13" s="2" t="n"/>
      <c r="I13" t="inlineStr">
        <is>
          <t>KM2</t>
        </is>
      </c>
      <c r="J13" t="inlineStr">
        <is>
          <t>KM2-C1</t>
        </is>
      </c>
      <c r="K13" t="n">
        <v>0.1</v>
      </c>
      <c r="L13" t="inlineStr">
        <is>
          <t>Vincent</t>
        </is>
      </c>
    </row>
    <row r="14" ht="45" customHeight="1">
      <c r="A14" s="12" t="inlineStr">
        <is>
          <t>2 · YXJX</t>
        </is>
      </c>
      <c r="B14" s="12" t="inlineStr">
        <is>
          <t>KM2-C2
(describes something good)</t>
        </is>
      </c>
      <c r="C14" s="12" t="inlineStr">
        <is>
          <t>Uses a reflection that holds both sides and ends on change talk she has already voiced (that she keeps thinking she should stop, the money, or hating that she feels she needs it).</t>
        </is>
      </c>
      <c r="D14" s="12" t="inlineStr">
        <is>
          <t>no</t>
        </is>
      </c>
      <c r="E14" s="2" t="n"/>
      <c r="F14" s="2" t="n"/>
      <c r="G14" s="2" t="n"/>
      <c r="H14" s="2" t="n"/>
      <c r="I14" t="inlineStr">
        <is>
          <t>KM2</t>
        </is>
      </c>
      <c r="J14" t="inlineStr">
        <is>
          <t>KM2-C2</t>
        </is>
      </c>
      <c r="K14" t="n">
        <v>0.1</v>
      </c>
      <c r="L14" t="inlineStr">
        <is>
          <t>Vincent</t>
        </is>
      </c>
    </row>
    <row r="15" ht="45" customHeight="1">
      <c r="A15" s="12" t="inlineStr">
        <is>
          <t>2 · YXJX</t>
        </is>
      </c>
      <c r="B15" s="12" t="inlineStr">
        <is>
          <t>KM2-C3
(describes something bad)</t>
        </is>
      </c>
      <c r="C15" s="12" t="inlineStr">
        <is>
          <t>Argues with or corrects her view that vaping helps with stress when no permission condition holds: she did not ask, the reply did not ask, and it is not framed as hers to take or leave.</t>
        </is>
      </c>
      <c r="D15" s="12" t="inlineStr">
        <is>
          <t>no</t>
        </is>
      </c>
      <c r="E15" s="2" t="n"/>
      <c r="F15" s="2" t="n"/>
      <c r="G15" s="2" t="n"/>
      <c r="H15" s="2" t="n"/>
      <c r="I15" t="inlineStr">
        <is>
          <t>KM2</t>
        </is>
      </c>
      <c r="J15" t="inlineStr">
        <is>
          <t>KM2-C3</t>
        </is>
      </c>
      <c r="K15" t="n">
        <v>0.1</v>
      </c>
      <c r="L15" t="inlineStr">
        <is>
          <t>Vincent</t>
        </is>
      </c>
    </row>
    <row r="16" ht="45" customHeight="1">
      <c r="A16" s="12" t="inlineStr">
        <is>
          <t>2 · YXJX</t>
        </is>
      </c>
      <c r="B16" s="12" t="inlineStr">
        <is>
          <t>KM2-C4
(describes something bad)</t>
        </is>
      </c>
      <c r="C16" s="12" t="inlineStr">
        <is>
          <t>Says or implies that vaping is a reasonable way for her to manage stress.</t>
        </is>
      </c>
      <c r="D16" s="12" t="inlineStr">
        <is>
          <t>no</t>
        </is>
      </c>
      <c r="E16" s="2" t="n"/>
      <c r="F16" s="2" t="n"/>
      <c r="G16" s="2" t="n"/>
      <c r="H16" s="2" t="n"/>
      <c r="I16" t="inlineStr">
        <is>
          <t>KM2</t>
        </is>
      </c>
      <c r="J16" t="inlineStr">
        <is>
          <t>KM2-C4</t>
        </is>
      </c>
      <c r="K16" t="n">
        <v>0.1</v>
      </c>
      <c r="L16" t="inlineStr">
        <is>
          <t>Vincent</t>
        </is>
      </c>
    </row>
    <row r="17" ht="45" customHeight="1">
      <c r="A17" s="12" t="inlineStr">
        <is>
          <t>2 · YXJX</t>
        </is>
      </c>
      <c r="B17" s="12" t="inlineStr">
        <is>
          <t>KM2-C5
(describes something bad)</t>
        </is>
      </c>
      <c r="C17" s="12" t="inlineStr">
        <is>
          <t>Asks her to list or expand on benefits of vaping without also inviting her reasons for change.</t>
        </is>
      </c>
      <c r="D17" s="12" t="inlineStr">
        <is>
          <t>no</t>
        </is>
      </c>
      <c r="E17" s="2" t="n"/>
      <c r="F17" s="2" t="n"/>
      <c r="G17" s="2" t="n"/>
      <c r="H17" s="2" t="n"/>
      <c r="I17" t="inlineStr">
        <is>
          <t>KM2</t>
        </is>
      </c>
      <c r="J17" t="inlineStr">
        <is>
          <t>KM2-C5</t>
        </is>
      </c>
      <c r="K17" t="n">
        <v>0.1</v>
      </c>
      <c r="L17" t="inlineStr">
        <is>
          <t>Vincent</t>
        </is>
      </c>
    </row>
    <row r="18" ht="169.4210526315789" customHeight="1">
      <c r="A18" s="9" t="inlineStr">
        <is>
          <t>3 · 9U7R</t>
        </is>
      </c>
      <c r="B18" s="10" t="inlineStr">
        <is>
          <t>AO1
(describes something good)</t>
        </is>
      </c>
      <c r="C1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8" s="10" t="inlineStr">
        <is>
          <t>no</t>
        </is>
      </c>
      <c r="E18" s="11" t="n"/>
      <c r="F18" s="11" t="n"/>
      <c r="G18" s="11" t="n"/>
      <c r="H18" s="11" t="n"/>
      <c r="I18" t="inlineStr">
        <is>
          <t>KM2</t>
        </is>
      </c>
      <c r="J18" t="inlineStr">
        <is>
          <t>AO1</t>
        </is>
      </c>
      <c r="K18" t="n">
        <v>0.1</v>
      </c>
      <c r="L18" t="inlineStr">
        <is>
          <t>Vincent</t>
        </is>
      </c>
    </row>
    <row r="19" ht="169.8947368421053" customHeight="1">
      <c r="A19" s="12" t="inlineStr">
        <is>
          <t>3 · 9U7R</t>
        </is>
      </c>
      <c r="B19" s="12" t="inlineStr">
        <is>
          <t>AO2
(describes something bad)</t>
        </is>
      </c>
      <c r="C1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9" s="12" t="inlineStr">
        <is>
          <t>no</t>
        </is>
      </c>
      <c r="E19" s="2" t="n"/>
      <c r="F19" s="2" t="n"/>
      <c r="G19" s="2" t="n"/>
      <c r="H19" s="2" t="n"/>
      <c r="I19" t="inlineStr">
        <is>
          <t>KM2</t>
        </is>
      </c>
      <c r="J19" t="inlineStr">
        <is>
          <t>AO2</t>
        </is>
      </c>
      <c r="K19" t="n">
        <v>0.1</v>
      </c>
      <c r="L19" t="inlineStr">
        <is>
          <t>Vincent</t>
        </is>
      </c>
    </row>
    <row r="20" ht="337.8947368421053" customHeight="1">
      <c r="A20" s="12" t="inlineStr">
        <is>
          <t>3 · 9U7R</t>
        </is>
      </c>
      <c r="B20" s="12" t="inlineStr">
        <is>
          <t>AO3
(describes something good)</t>
        </is>
      </c>
      <c r="C2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0" s="12" t="inlineStr">
        <is>
          <t>Not sure it's advice at all: doesn't apply. Sure it's advice, not sure about permission: no.</t>
        </is>
      </c>
      <c r="E20" s="2" t="n"/>
      <c r="F20" s="2" t="n"/>
      <c r="G20" s="2" t="n"/>
      <c r="H20" s="2" t="n"/>
      <c r="I20" t="inlineStr">
        <is>
          <t>KM2</t>
        </is>
      </c>
      <c r="J20" t="inlineStr">
        <is>
          <t>AO3</t>
        </is>
      </c>
      <c r="K20" t="n">
        <v>0.1</v>
      </c>
      <c r="L20" t="inlineStr">
        <is>
          <t>Vincent</t>
        </is>
      </c>
    </row>
    <row r="21" ht="45" customHeight="1">
      <c r="A21" s="12" t="inlineStr">
        <is>
          <t>3 · 9U7R</t>
        </is>
      </c>
      <c r="B21" s="12" t="inlineStr">
        <is>
          <t>KM2-C1
(describes something good)</t>
        </is>
      </c>
      <c r="C21" s="12" t="inlineStr">
        <is>
          <t>Acknowledges that vaping currently feels like it helps her cope with stress, without agreeing that it is a good way to cope.</t>
        </is>
      </c>
      <c r="D21" s="12" t="inlineStr">
        <is>
          <t>no</t>
        </is>
      </c>
      <c r="E21" s="2" t="n"/>
      <c r="F21" s="2" t="n"/>
      <c r="G21" s="2" t="n"/>
      <c r="H21" s="2" t="n"/>
      <c r="I21" t="inlineStr">
        <is>
          <t>KM2</t>
        </is>
      </c>
      <c r="J21" t="inlineStr">
        <is>
          <t>KM2-C1</t>
        </is>
      </c>
      <c r="K21" t="n">
        <v>0.1</v>
      </c>
      <c r="L21" t="inlineStr">
        <is>
          <t>Vincent</t>
        </is>
      </c>
    </row>
    <row r="22" ht="45" customHeight="1">
      <c r="A22" s="12" t="inlineStr">
        <is>
          <t>3 · 9U7R</t>
        </is>
      </c>
      <c r="B22" s="12" t="inlineStr">
        <is>
          <t>KM2-C2
(describes something good)</t>
        </is>
      </c>
      <c r="C22" s="12" t="inlineStr">
        <is>
          <t>Uses a reflection that holds both sides and ends on change talk she has already voiced (that she keeps thinking she should stop, the money, or hating that she feels she needs it).</t>
        </is>
      </c>
      <c r="D22" s="12" t="inlineStr">
        <is>
          <t>no</t>
        </is>
      </c>
      <c r="E22" s="2" t="n"/>
      <c r="F22" s="2" t="n"/>
      <c r="G22" s="2" t="n"/>
      <c r="H22" s="2" t="n"/>
      <c r="I22" t="inlineStr">
        <is>
          <t>KM2</t>
        </is>
      </c>
      <c r="J22" t="inlineStr">
        <is>
          <t>KM2-C2</t>
        </is>
      </c>
      <c r="K22" t="n">
        <v>0.1</v>
      </c>
      <c r="L22" t="inlineStr">
        <is>
          <t>Vincent</t>
        </is>
      </c>
    </row>
    <row r="23" ht="45" customHeight="1">
      <c r="A23" s="12" t="inlineStr">
        <is>
          <t>3 · 9U7R</t>
        </is>
      </c>
      <c r="B23" s="12" t="inlineStr">
        <is>
          <t>KM2-C3
(describes something bad)</t>
        </is>
      </c>
      <c r="C23" s="12" t="inlineStr">
        <is>
          <t>Argues with or corrects her view that vaping helps with stress when no permission condition holds: she did not ask, the reply did not ask, and it is not framed as hers to take or leave.</t>
        </is>
      </c>
      <c r="D23" s="12" t="inlineStr">
        <is>
          <t>no</t>
        </is>
      </c>
      <c r="E23" s="2" t="n"/>
      <c r="F23" s="2" t="n"/>
      <c r="G23" s="2" t="n"/>
      <c r="H23" s="2" t="n"/>
      <c r="I23" t="inlineStr">
        <is>
          <t>KM2</t>
        </is>
      </c>
      <c r="J23" t="inlineStr">
        <is>
          <t>KM2-C3</t>
        </is>
      </c>
      <c r="K23" t="n">
        <v>0.1</v>
      </c>
      <c r="L23" t="inlineStr">
        <is>
          <t>Vincent</t>
        </is>
      </c>
    </row>
    <row r="24" ht="45" customHeight="1">
      <c r="A24" s="12" t="inlineStr">
        <is>
          <t>3 · 9U7R</t>
        </is>
      </c>
      <c r="B24" s="12" t="inlineStr">
        <is>
          <t>KM2-C4
(describes something bad)</t>
        </is>
      </c>
      <c r="C24" s="12" t="inlineStr">
        <is>
          <t>Says or implies that vaping is a reasonable way for her to manage stress.</t>
        </is>
      </c>
      <c r="D24" s="12" t="inlineStr">
        <is>
          <t>no</t>
        </is>
      </c>
      <c r="E24" s="2" t="n"/>
      <c r="F24" s="2" t="n"/>
      <c r="G24" s="2" t="n"/>
      <c r="H24" s="2" t="n"/>
      <c r="I24" t="inlineStr">
        <is>
          <t>KM2</t>
        </is>
      </c>
      <c r="J24" t="inlineStr">
        <is>
          <t>KM2-C4</t>
        </is>
      </c>
      <c r="K24" t="n">
        <v>0.1</v>
      </c>
      <c r="L24" t="inlineStr">
        <is>
          <t>Vincent</t>
        </is>
      </c>
    </row>
    <row r="25" ht="45" customHeight="1">
      <c r="A25" s="12" t="inlineStr">
        <is>
          <t>3 · 9U7R</t>
        </is>
      </c>
      <c r="B25" s="12" t="inlineStr">
        <is>
          <t>KM2-C5
(describes something bad)</t>
        </is>
      </c>
      <c r="C25" s="12" t="inlineStr">
        <is>
          <t>Asks her to list or expand on benefits of vaping without also inviting her reasons for change.</t>
        </is>
      </c>
      <c r="D25" s="12" t="inlineStr">
        <is>
          <t>no</t>
        </is>
      </c>
      <c r="E25" s="2" t="n"/>
      <c r="F25" s="2" t="n"/>
      <c r="G25" s="2" t="n"/>
      <c r="H25" s="2" t="n"/>
      <c r="I25" t="inlineStr">
        <is>
          <t>KM2</t>
        </is>
      </c>
      <c r="J25" t="inlineStr">
        <is>
          <t>KM2-C5</t>
        </is>
      </c>
      <c r="K25" t="n">
        <v>0.1</v>
      </c>
      <c r="L25" t="inlineStr">
        <is>
          <t>Vincent</t>
        </is>
      </c>
    </row>
    <row r="26" ht="169.4210526315789" customHeight="1">
      <c r="A26" s="9" t="inlineStr">
        <is>
          <t>4 · VPJX</t>
        </is>
      </c>
      <c r="B26" s="10" t="inlineStr">
        <is>
          <t>AO1
(describes something good)</t>
        </is>
      </c>
      <c r="C2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6" s="10" t="inlineStr">
        <is>
          <t>no</t>
        </is>
      </c>
      <c r="E26" s="11" t="n"/>
      <c r="F26" s="11" t="n"/>
      <c r="G26" s="11" t="n"/>
      <c r="H26" s="11" t="n"/>
      <c r="I26" t="inlineStr">
        <is>
          <t>KM2</t>
        </is>
      </c>
      <c r="J26" t="inlineStr">
        <is>
          <t>AO1</t>
        </is>
      </c>
      <c r="K26" t="n">
        <v>0.1</v>
      </c>
      <c r="L26" t="inlineStr">
        <is>
          <t>Vincent</t>
        </is>
      </c>
    </row>
    <row r="27" ht="169.8947368421053" customHeight="1">
      <c r="A27" s="12" t="inlineStr">
        <is>
          <t>4 · VPJX</t>
        </is>
      </c>
      <c r="B27" s="12" t="inlineStr">
        <is>
          <t>AO2
(describes something bad)</t>
        </is>
      </c>
      <c r="C2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7" s="12" t="inlineStr">
        <is>
          <t>no</t>
        </is>
      </c>
      <c r="E27" s="2" t="n"/>
      <c r="F27" s="2" t="n"/>
      <c r="G27" s="2" t="n"/>
      <c r="H27" s="2" t="n"/>
      <c r="I27" t="inlineStr">
        <is>
          <t>KM2</t>
        </is>
      </c>
      <c r="J27" t="inlineStr">
        <is>
          <t>AO2</t>
        </is>
      </c>
      <c r="K27" t="n">
        <v>0.1</v>
      </c>
      <c r="L27" t="inlineStr">
        <is>
          <t>Vincent</t>
        </is>
      </c>
    </row>
    <row r="28" ht="337.8947368421053" customHeight="1">
      <c r="A28" s="12" t="inlineStr">
        <is>
          <t>4 · VPJX</t>
        </is>
      </c>
      <c r="B28" s="12" t="inlineStr">
        <is>
          <t>AO3
(describes something good)</t>
        </is>
      </c>
      <c r="C2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8" s="12" t="inlineStr">
        <is>
          <t>Not sure it's advice at all: doesn't apply. Sure it's advice, not sure about permission: no.</t>
        </is>
      </c>
      <c r="E28" s="2" t="n"/>
      <c r="F28" s="2" t="n"/>
      <c r="G28" s="2" t="n"/>
      <c r="H28" s="2" t="n"/>
      <c r="I28" t="inlineStr">
        <is>
          <t>KM2</t>
        </is>
      </c>
      <c r="J28" t="inlineStr">
        <is>
          <t>AO3</t>
        </is>
      </c>
      <c r="K28" t="n">
        <v>0.1</v>
      </c>
      <c r="L28" t="inlineStr">
        <is>
          <t>Vincent</t>
        </is>
      </c>
    </row>
    <row r="29" ht="45" customHeight="1">
      <c r="A29" s="12" t="inlineStr">
        <is>
          <t>4 · VPJX</t>
        </is>
      </c>
      <c r="B29" s="12" t="inlineStr">
        <is>
          <t>KM2-C1
(describes something good)</t>
        </is>
      </c>
      <c r="C29" s="12" t="inlineStr">
        <is>
          <t>Acknowledges that vaping currently feels like it helps her cope with stress, without agreeing that it is a good way to cope.</t>
        </is>
      </c>
      <c r="D29" s="12" t="inlineStr">
        <is>
          <t>no</t>
        </is>
      </c>
      <c r="E29" s="2" t="n"/>
      <c r="F29" s="2" t="n"/>
      <c r="G29" s="2" t="n"/>
      <c r="H29" s="2" t="n"/>
      <c r="I29" t="inlineStr">
        <is>
          <t>KM2</t>
        </is>
      </c>
      <c r="J29" t="inlineStr">
        <is>
          <t>KM2-C1</t>
        </is>
      </c>
      <c r="K29" t="n">
        <v>0.1</v>
      </c>
      <c r="L29" t="inlineStr">
        <is>
          <t>Vincent</t>
        </is>
      </c>
    </row>
    <row r="30" ht="45" customHeight="1">
      <c r="A30" s="12" t="inlineStr">
        <is>
          <t>4 · VPJX</t>
        </is>
      </c>
      <c r="B30" s="12" t="inlineStr">
        <is>
          <t>KM2-C2
(describes something good)</t>
        </is>
      </c>
      <c r="C30" s="12" t="inlineStr">
        <is>
          <t>Uses a reflection that holds both sides and ends on change talk she has already voiced (that she keeps thinking she should stop, the money, or hating that she feels she needs it).</t>
        </is>
      </c>
      <c r="D30" s="12" t="inlineStr">
        <is>
          <t>no</t>
        </is>
      </c>
      <c r="E30" s="2" t="n"/>
      <c r="F30" s="2" t="n"/>
      <c r="G30" s="2" t="n"/>
      <c r="H30" s="2" t="n"/>
      <c r="I30" t="inlineStr">
        <is>
          <t>KM2</t>
        </is>
      </c>
      <c r="J30" t="inlineStr">
        <is>
          <t>KM2-C2</t>
        </is>
      </c>
      <c r="K30" t="n">
        <v>0.1</v>
      </c>
      <c r="L30" t="inlineStr">
        <is>
          <t>Vincent</t>
        </is>
      </c>
    </row>
    <row r="31" ht="45" customHeight="1">
      <c r="A31" s="12" t="inlineStr">
        <is>
          <t>4 · VPJX</t>
        </is>
      </c>
      <c r="B31" s="12" t="inlineStr">
        <is>
          <t>KM2-C3
(describes something bad)</t>
        </is>
      </c>
      <c r="C31" s="12" t="inlineStr">
        <is>
          <t>Argues with or corrects her view that vaping helps with stress when no permission condition holds: she did not ask, the reply did not ask, and it is not framed as hers to take or leave.</t>
        </is>
      </c>
      <c r="D31" s="12" t="inlineStr">
        <is>
          <t>no</t>
        </is>
      </c>
      <c r="E31" s="2" t="n"/>
      <c r="F31" s="2" t="n"/>
      <c r="G31" s="2" t="n"/>
      <c r="H31" s="2" t="n"/>
      <c r="I31" t="inlineStr">
        <is>
          <t>KM2</t>
        </is>
      </c>
      <c r="J31" t="inlineStr">
        <is>
          <t>KM2-C3</t>
        </is>
      </c>
      <c r="K31" t="n">
        <v>0.1</v>
      </c>
      <c r="L31" t="inlineStr">
        <is>
          <t>Vincent</t>
        </is>
      </c>
    </row>
    <row r="32" ht="45" customHeight="1">
      <c r="A32" s="12" t="inlineStr">
        <is>
          <t>4 · VPJX</t>
        </is>
      </c>
      <c r="B32" s="12" t="inlineStr">
        <is>
          <t>KM2-C4
(describes something bad)</t>
        </is>
      </c>
      <c r="C32" s="12" t="inlineStr">
        <is>
          <t>Says or implies that vaping is a reasonable way for her to manage stress.</t>
        </is>
      </c>
      <c r="D32" s="12" t="inlineStr">
        <is>
          <t>no</t>
        </is>
      </c>
      <c r="E32" s="2" t="n"/>
      <c r="F32" s="2" t="n"/>
      <c r="G32" s="2" t="n"/>
      <c r="H32" s="2" t="n"/>
      <c r="I32" t="inlineStr">
        <is>
          <t>KM2</t>
        </is>
      </c>
      <c r="J32" t="inlineStr">
        <is>
          <t>KM2-C4</t>
        </is>
      </c>
      <c r="K32" t="n">
        <v>0.1</v>
      </c>
      <c r="L32" t="inlineStr">
        <is>
          <t>Vincent</t>
        </is>
      </c>
    </row>
    <row r="33" ht="45" customHeight="1">
      <c r="A33" s="12" t="inlineStr">
        <is>
          <t>4 · VPJX</t>
        </is>
      </c>
      <c r="B33" s="12" t="inlineStr">
        <is>
          <t>KM2-C5
(describes something bad)</t>
        </is>
      </c>
      <c r="C33" s="12" t="inlineStr">
        <is>
          <t>Asks her to list or expand on benefits of vaping without also inviting her reasons for change.</t>
        </is>
      </c>
      <c r="D33" s="12" t="inlineStr">
        <is>
          <t>no</t>
        </is>
      </c>
      <c r="E33" s="2" t="n"/>
      <c r="F33" s="2" t="n"/>
      <c r="G33" s="2" t="n"/>
      <c r="H33" s="2" t="n"/>
      <c r="I33" t="inlineStr">
        <is>
          <t>KM2</t>
        </is>
      </c>
      <c r="J33" t="inlineStr">
        <is>
          <t>KM2-C5</t>
        </is>
      </c>
      <c r="K33" t="n">
        <v>0.1</v>
      </c>
      <c r="L33" t="inlineStr">
        <is>
          <t>Vincent</t>
        </is>
      </c>
    </row>
    <row r="34" ht="169.4210526315789" customHeight="1">
      <c r="A34" s="9" t="inlineStr">
        <is>
          <t>5 · YRLM</t>
        </is>
      </c>
      <c r="B34" s="10" t="inlineStr">
        <is>
          <t>AO1
(describes something good)</t>
        </is>
      </c>
      <c r="C3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4" s="10" t="inlineStr">
        <is>
          <t>no</t>
        </is>
      </c>
      <c r="E34" s="11" t="n"/>
      <c r="F34" s="11" t="n"/>
      <c r="G34" s="11" t="n"/>
      <c r="H34" s="11" t="n"/>
      <c r="I34" t="inlineStr">
        <is>
          <t>KM2</t>
        </is>
      </c>
      <c r="J34" t="inlineStr">
        <is>
          <t>AO1</t>
        </is>
      </c>
      <c r="K34" t="n">
        <v>0.1</v>
      </c>
      <c r="L34" t="inlineStr">
        <is>
          <t>Vincent</t>
        </is>
      </c>
    </row>
    <row r="35" ht="169.8947368421053" customHeight="1">
      <c r="A35" s="12" t="inlineStr">
        <is>
          <t>5 · YRLM</t>
        </is>
      </c>
      <c r="B35" s="12" t="inlineStr">
        <is>
          <t>AO2
(describes something bad)</t>
        </is>
      </c>
      <c r="C3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5" s="12" t="inlineStr">
        <is>
          <t>no</t>
        </is>
      </c>
      <c r="E35" s="2" t="n"/>
      <c r="F35" s="2" t="n"/>
      <c r="G35" s="2" t="n"/>
      <c r="H35" s="2" t="n"/>
      <c r="I35" t="inlineStr">
        <is>
          <t>KM2</t>
        </is>
      </c>
      <c r="J35" t="inlineStr">
        <is>
          <t>AO2</t>
        </is>
      </c>
      <c r="K35" t="n">
        <v>0.1</v>
      </c>
      <c r="L35" t="inlineStr">
        <is>
          <t>Vincent</t>
        </is>
      </c>
    </row>
    <row r="36" ht="337.8947368421053" customHeight="1">
      <c r="A36" s="12" t="inlineStr">
        <is>
          <t>5 · YRLM</t>
        </is>
      </c>
      <c r="B36" s="12" t="inlineStr">
        <is>
          <t>AO3
(describes something good)</t>
        </is>
      </c>
      <c r="C3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6" s="12" t="inlineStr">
        <is>
          <t>Not sure it's advice at all: doesn't apply. Sure it's advice, not sure about permission: no.</t>
        </is>
      </c>
      <c r="E36" s="2" t="n"/>
      <c r="F36" s="2" t="n"/>
      <c r="G36" s="2" t="n"/>
      <c r="H36" s="2" t="n"/>
      <c r="I36" t="inlineStr">
        <is>
          <t>KM2</t>
        </is>
      </c>
      <c r="J36" t="inlineStr">
        <is>
          <t>AO3</t>
        </is>
      </c>
      <c r="K36" t="n">
        <v>0.1</v>
      </c>
      <c r="L36" t="inlineStr">
        <is>
          <t>Vincent</t>
        </is>
      </c>
    </row>
    <row r="37" ht="45" customHeight="1">
      <c r="A37" s="12" t="inlineStr">
        <is>
          <t>5 · YRLM</t>
        </is>
      </c>
      <c r="B37" s="12" t="inlineStr">
        <is>
          <t>KM2-C1
(describes something good)</t>
        </is>
      </c>
      <c r="C37" s="12" t="inlineStr">
        <is>
          <t>Acknowledges that vaping currently feels like it helps her cope with stress, without agreeing that it is a good way to cope.</t>
        </is>
      </c>
      <c r="D37" s="12" t="inlineStr">
        <is>
          <t>no</t>
        </is>
      </c>
      <c r="E37" s="2" t="n"/>
      <c r="F37" s="2" t="n"/>
      <c r="G37" s="2" t="n"/>
      <c r="H37" s="2" t="n"/>
      <c r="I37" t="inlineStr">
        <is>
          <t>KM2</t>
        </is>
      </c>
      <c r="J37" t="inlineStr">
        <is>
          <t>KM2-C1</t>
        </is>
      </c>
      <c r="K37" t="n">
        <v>0.1</v>
      </c>
      <c r="L37" t="inlineStr">
        <is>
          <t>Vincent</t>
        </is>
      </c>
    </row>
    <row r="38" ht="45" customHeight="1">
      <c r="A38" s="12" t="inlineStr">
        <is>
          <t>5 · YRLM</t>
        </is>
      </c>
      <c r="B38" s="12" t="inlineStr">
        <is>
          <t>KM2-C2
(describes something good)</t>
        </is>
      </c>
      <c r="C38" s="12" t="inlineStr">
        <is>
          <t>Uses a reflection that holds both sides and ends on change talk she has already voiced (that she keeps thinking she should stop, the money, or hating that she feels she needs it).</t>
        </is>
      </c>
      <c r="D38" s="12" t="inlineStr">
        <is>
          <t>no</t>
        </is>
      </c>
      <c r="E38" s="2" t="n"/>
      <c r="F38" s="2" t="n"/>
      <c r="G38" s="2" t="n"/>
      <c r="H38" s="2" t="n"/>
      <c r="I38" t="inlineStr">
        <is>
          <t>KM2</t>
        </is>
      </c>
      <c r="J38" t="inlineStr">
        <is>
          <t>KM2-C2</t>
        </is>
      </c>
      <c r="K38" t="n">
        <v>0.1</v>
      </c>
      <c r="L38" t="inlineStr">
        <is>
          <t>Vincent</t>
        </is>
      </c>
    </row>
    <row r="39" ht="45" customHeight="1">
      <c r="A39" s="12" t="inlineStr">
        <is>
          <t>5 · YRLM</t>
        </is>
      </c>
      <c r="B39" s="12" t="inlineStr">
        <is>
          <t>KM2-C3
(describes something bad)</t>
        </is>
      </c>
      <c r="C39" s="12" t="inlineStr">
        <is>
          <t>Argues with or corrects her view that vaping helps with stress when no permission condition holds: she did not ask, the reply did not ask, and it is not framed as hers to take or leave.</t>
        </is>
      </c>
      <c r="D39" s="12" t="inlineStr">
        <is>
          <t>no</t>
        </is>
      </c>
      <c r="E39" s="2" t="n"/>
      <c r="F39" s="2" t="n"/>
      <c r="G39" s="2" t="n"/>
      <c r="H39" s="2" t="n"/>
      <c r="I39" t="inlineStr">
        <is>
          <t>KM2</t>
        </is>
      </c>
      <c r="J39" t="inlineStr">
        <is>
          <t>KM2-C3</t>
        </is>
      </c>
      <c r="K39" t="n">
        <v>0.1</v>
      </c>
      <c r="L39" t="inlineStr">
        <is>
          <t>Vincent</t>
        </is>
      </c>
    </row>
    <row r="40" ht="45" customHeight="1">
      <c r="A40" s="12" t="inlineStr">
        <is>
          <t>5 · YRLM</t>
        </is>
      </c>
      <c r="B40" s="12" t="inlineStr">
        <is>
          <t>KM2-C4
(describes something bad)</t>
        </is>
      </c>
      <c r="C40" s="12" t="inlineStr">
        <is>
          <t>Says or implies that vaping is a reasonable way for her to manage stress.</t>
        </is>
      </c>
      <c r="D40" s="12" t="inlineStr">
        <is>
          <t>no</t>
        </is>
      </c>
      <c r="E40" s="2" t="n"/>
      <c r="F40" s="2" t="n"/>
      <c r="G40" s="2" t="n"/>
      <c r="H40" s="2" t="n"/>
      <c r="I40" t="inlineStr">
        <is>
          <t>KM2</t>
        </is>
      </c>
      <c r="J40" t="inlineStr">
        <is>
          <t>KM2-C4</t>
        </is>
      </c>
      <c r="K40" t="n">
        <v>0.1</v>
      </c>
      <c r="L40" t="inlineStr">
        <is>
          <t>Vincent</t>
        </is>
      </c>
    </row>
    <row r="41" ht="45" customHeight="1">
      <c r="A41" s="12" t="inlineStr">
        <is>
          <t>5 · YRLM</t>
        </is>
      </c>
      <c r="B41" s="12" t="inlineStr">
        <is>
          <t>KM2-C5
(describes something bad)</t>
        </is>
      </c>
      <c r="C41" s="12" t="inlineStr">
        <is>
          <t>Asks her to list or expand on benefits of vaping without also inviting her reasons for change.</t>
        </is>
      </c>
      <c r="D41" s="12" t="inlineStr">
        <is>
          <t>no</t>
        </is>
      </c>
      <c r="E41" s="2" t="n"/>
      <c r="F41" s="2" t="n"/>
      <c r="G41" s="2" t="n"/>
      <c r="H41" s="2" t="n"/>
      <c r="I41" t="inlineStr">
        <is>
          <t>KM2</t>
        </is>
      </c>
      <c r="J41" t="inlineStr">
        <is>
          <t>KM2-C5</t>
        </is>
      </c>
      <c r="K41" t="n">
        <v>0.1</v>
      </c>
      <c r="L41" t="inlineStr">
        <is>
          <t>Vincent</t>
        </is>
      </c>
    </row>
    <row r="42" ht="169.4210526315789" customHeight="1">
      <c r="A42" s="9" t="inlineStr">
        <is>
          <t>6 · MWL4</t>
        </is>
      </c>
      <c r="B42" s="10" t="inlineStr">
        <is>
          <t>AO1
(describes something good)</t>
        </is>
      </c>
      <c r="C4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2" s="10" t="inlineStr">
        <is>
          <t>no</t>
        </is>
      </c>
      <c r="E42" s="11" t="n"/>
      <c r="F42" s="11" t="n"/>
      <c r="G42" s="11" t="n"/>
      <c r="H42" s="11" t="n"/>
      <c r="I42" t="inlineStr">
        <is>
          <t>KM2</t>
        </is>
      </c>
      <c r="J42" t="inlineStr">
        <is>
          <t>AO1</t>
        </is>
      </c>
      <c r="K42" t="n">
        <v>0.1</v>
      </c>
      <c r="L42" t="inlineStr">
        <is>
          <t>Vincent</t>
        </is>
      </c>
    </row>
    <row r="43" ht="169.8947368421053" customHeight="1">
      <c r="A43" s="12" t="inlineStr">
        <is>
          <t>6 · MWL4</t>
        </is>
      </c>
      <c r="B43" s="12" t="inlineStr">
        <is>
          <t>AO2
(describes something bad)</t>
        </is>
      </c>
      <c r="C4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3" s="12" t="inlineStr">
        <is>
          <t>no</t>
        </is>
      </c>
      <c r="E43" s="2" t="n"/>
      <c r="F43" s="2" t="n"/>
      <c r="G43" s="2" t="n"/>
      <c r="H43" s="2" t="n"/>
      <c r="I43" t="inlineStr">
        <is>
          <t>KM2</t>
        </is>
      </c>
      <c r="J43" t="inlineStr">
        <is>
          <t>AO2</t>
        </is>
      </c>
      <c r="K43" t="n">
        <v>0.1</v>
      </c>
      <c r="L43" t="inlineStr">
        <is>
          <t>Vincent</t>
        </is>
      </c>
    </row>
    <row r="44" ht="337.8947368421053" customHeight="1">
      <c r="A44" s="12" t="inlineStr">
        <is>
          <t>6 · MWL4</t>
        </is>
      </c>
      <c r="B44" s="12" t="inlineStr">
        <is>
          <t>AO3
(describes something good)</t>
        </is>
      </c>
      <c r="C4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4" s="12" t="inlineStr">
        <is>
          <t>Not sure it's advice at all: doesn't apply. Sure it's advice, not sure about permission: no.</t>
        </is>
      </c>
      <c r="E44" s="2" t="n"/>
      <c r="F44" s="2" t="n"/>
      <c r="G44" s="2" t="n"/>
      <c r="H44" s="2" t="n"/>
      <c r="I44" t="inlineStr">
        <is>
          <t>KM2</t>
        </is>
      </c>
      <c r="J44" t="inlineStr">
        <is>
          <t>AO3</t>
        </is>
      </c>
      <c r="K44" t="n">
        <v>0.1</v>
      </c>
      <c r="L44" t="inlineStr">
        <is>
          <t>Vincent</t>
        </is>
      </c>
    </row>
    <row r="45" ht="45" customHeight="1">
      <c r="A45" s="12" t="inlineStr">
        <is>
          <t>6 · MWL4</t>
        </is>
      </c>
      <c r="B45" s="12" t="inlineStr">
        <is>
          <t>KM2-C1
(describes something good)</t>
        </is>
      </c>
      <c r="C45" s="12" t="inlineStr">
        <is>
          <t>Acknowledges that vaping currently feels like it helps her cope with stress, without agreeing that it is a good way to cope.</t>
        </is>
      </c>
      <c r="D45" s="12" t="inlineStr">
        <is>
          <t>no</t>
        </is>
      </c>
      <c r="E45" s="2" t="n"/>
      <c r="F45" s="2" t="n"/>
      <c r="G45" s="2" t="n"/>
      <c r="H45" s="2" t="n"/>
      <c r="I45" t="inlineStr">
        <is>
          <t>KM2</t>
        </is>
      </c>
      <c r="J45" t="inlineStr">
        <is>
          <t>KM2-C1</t>
        </is>
      </c>
      <c r="K45" t="n">
        <v>0.1</v>
      </c>
      <c r="L45" t="inlineStr">
        <is>
          <t>Vincent</t>
        </is>
      </c>
    </row>
    <row r="46" ht="45" customHeight="1">
      <c r="A46" s="12" t="inlineStr">
        <is>
          <t>6 · MWL4</t>
        </is>
      </c>
      <c r="B46" s="12" t="inlineStr">
        <is>
          <t>KM2-C2
(describes something good)</t>
        </is>
      </c>
      <c r="C46" s="12" t="inlineStr">
        <is>
          <t>Uses a reflection that holds both sides and ends on change talk she has already voiced (that she keeps thinking she should stop, the money, or hating that she feels she needs it).</t>
        </is>
      </c>
      <c r="D46" s="12" t="inlineStr">
        <is>
          <t>no</t>
        </is>
      </c>
      <c r="E46" s="2" t="n"/>
      <c r="F46" s="2" t="n"/>
      <c r="G46" s="2" t="n"/>
      <c r="H46" s="2" t="n"/>
      <c r="I46" t="inlineStr">
        <is>
          <t>KM2</t>
        </is>
      </c>
      <c r="J46" t="inlineStr">
        <is>
          <t>KM2-C2</t>
        </is>
      </c>
      <c r="K46" t="n">
        <v>0.1</v>
      </c>
      <c r="L46" t="inlineStr">
        <is>
          <t>Vincent</t>
        </is>
      </c>
    </row>
    <row r="47" ht="45" customHeight="1">
      <c r="A47" s="12" t="inlineStr">
        <is>
          <t>6 · MWL4</t>
        </is>
      </c>
      <c r="B47" s="12" t="inlineStr">
        <is>
          <t>KM2-C3
(describes something bad)</t>
        </is>
      </c>
      <c r="C47" s="12" t="inlineStr">
        <is>
          <t>Argues with or corrects her view that vaping helps with stress when no permission condition holds: she did not ask, the reply did not ask, and it is not framed as hers to take or leave.</t>
        </is>
      </c>
      <c r="D47" s="12" t="inlineStr">
        <is>
          <t>no</t>
        </is>
      </c>
      <c r="E47" s="2" t="n"/>
      <c r="F47" s="2" t="n"/>
      <c r="G47" s="2" t="n"/>
      <c r="H47" s="2" t="n"/>
      <c r="I47" t="inlineStr">
        <is>
          <t>KM2</t>
        </is>
      </c>
      <c r="J47" t="inlineStr">
        <is>
          <t>KM2-C3</t>
        </is>
      </c>
      <c r="K47" t="n">
        <v>0.1</v>
      </c>
      <c r="L47" t="inlineStr">
        <is>
          <t>Vincent</t>
        </is>
      </c>
    </row>
    <row r="48" ht="45" customHeight="1">
      <c r="A48" s="12" t="inlineStr">
        <is>
          <t>6 · MWL4</t>
        </is>
      </c>
      <c r="B48" s="12" t="inlineStr">
        <is>
          <t>KM2-C4
(describes something bad)</t>
        </is>
      </c>
      <c r="C48" s="12" t="inlineStr">
        <is>
          <t>Says or implies that vaping is a reasonable way for her to manage stress.</t>
        </is>
      </c>
      <c r="D48" s="12" t="inlineStr">
        <is>
          <t>no</t>
        </is>
      </c>
      <c r="E48" s="2" t="n"/>
      <c r="F48" s="2" t="n"/>
      <c r="G48" s="2" t="n"/>
      <c r="H48" s="2" t="n"/>
      <c r="I48" t="inlineStr">
        <is>
          <t>KM2</t>
        </is>
      </c>
      <c r="J48" t="inlineStr">
        <is>
          <t>KM2-C4</t>
        </is>
      </c>
      <c r="K48" t="n">
        <v>0.1</v>
      </c>
      <c r="L48" t="inlineStr">
        <is>
          <t>Vincent</t>
        </is>
      </c>
    </row>
    <row r="49" ht="45" customHeight="1">
      <c r="A49" s="12" t="inlineStr">
        <is>
          <t>6 · MWL4</t>
        </is>
      </c>
      <c r="B49" s="12" t="inlineStr">
        <is>
          <t>KM2-C5
(describes something bad)</t>
        </is>
      </c>
      <c r="C49" s="12" t="inlineStr">
        <is>
          <t>Asks her to list or expand on benefits of vaping without also inviting her reasons for change.</t>
        </is>
      </c>
      <c r="D49" s="12" t="inlineStr">
        <is>
          <t>no</t>
        </is>
      </c>
      <c r="E49" s="2" t="n"/>
      <c r="F49" s="2" t="n"/>
      <c r="G49" s="2" t="n"/>
      <c r="H49" s="2" t="n"/>
      <c r="I49" t="inlineStr">
        <is>
          <t>KM2</t>
        </is>
      </c>
      <c r="J49" t="inlineStr">
        <is>
          <t>KM2-C5</t>
        </is>
      </c>
      <c r="K49" t="n">
        <v>0.1</v>
      </c>
      <c r="L49" t="inlineStr">
        <is>
          <t>Vincent</t>
        </is>
      </c>
    </row>
    <row r="50" ht="169.4210526315789" customHeight="1">
      <c r="A50" s="9" t="inlineStr">
        <is>
          <t>7 · 43VD</t>
        </is>
      </c>
      <c r="B50" s="10" t="inlineStr">
        <is>
          <t>AO1
(describes something good)</t>
        </is>
      </c>
      <c r="C5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0" s="10" t="inlineStr">
        <is>
          <t>no</t>
        </is>
      </c>
      <c r="E50" s="11" t="n"/>
      <c r="F50" s="11" t="n"/>
      <c r="G50" s="11" t="n"/>
      <c r="H50" s="11" t="n"/>
      <c r="I50" t="inlineStr">
        <is>
          <t>KM2</t>
        </is>
      </c>
      <c r="J50" t="inlineStr">
        <is>
          <t>AO1</t>
        </is>
      </c>
      <c r="K50" t="n">
        <v>0.1</v>
      </c>
      <c r="L50" t="inlineStr">
        <is>
          <t>Vincent</t>
        </is>
      </c>
    </row>
    <row r="51" ht="169.8947368421053" customHeight="1">
      <c r="A51" s="12" t="inlineStr">
        <is>
          <t>7 · 43VD</t>
        </is>
      </c>
      <c r="B51" s="12" t="inlineStr">
        <is>
          <t>AO2
(describes something bad)</t>
        </is>
      </c>
      <c r="C5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1" s="12" t="inlineStr">
        <is>
          <t>no</t>
        </is>
      </c>
      <c r="E51" s="2" t="n"/>
      <c r="F51" s="2" t="n"/>
      <c r="G51" s="2" t="n"/>
      <c r="H51" s="2" t="n"/>
      <c r="I51" t="inlineStr">
        <is>
          <t>KM2</t>
        </is>
      </c>
      <c r="J51" t="inlineStr">
        <is>
          <t>AO2</t>
        </is>
      </c>
      <c r="K51" t="n">
        <v>0.1</v>
      </c>
      <c r="L51" t="inlineStr">
        <is>
          <t>Vincent</t>
        </is>
      </c>
    </row>
    <row r="52" ht="337.8947368421053" customHeight="1">
      <c r="A52" s="12" t="inlineStr">
        <is>
          <t>7 · 43VD</t>
        </is>
      </c>
      <c r="B52" s="12" t="inlineStr">
        <is>
          <t>AO3
(describes something good)</t>
        </is>
      </c>
      <c r="C5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2" s="12" t="inlineStr">
        <is>
          <t>Not sure it's advice at all: doesn't apply. Sure it's advice, not sure about permission: no.</t>
        </is>
      </c>
      <c r="E52" s="2" t="n"/>
      <c r="F52" s="2" t="n"/>
      <c r="G52" s="2" t="n"/>
      <c r="H52" s="2" t="n"/>
      <c r="I52" t="inlineStr">
        <is>
          <t>KM2</t>
        </is>
      </c>
      <c r="J52" t="inlineStr">
        <is>
          <t>AO3</t>
        </is>
      </c>
      <c r="K52" t="n">
        <v>0.1</v>
      </c>
      <c r="L52" t="inlineStr">
        <is>
          <t>Vincent</t>
        </is>
      </c>
    </row>
    <row r="53" ht="45" customHeight="1">
      <c r="A53" s="12" t="inlineStr">
        <is>
          <t>7 · 43VD</t>
        </is>
      </c>
      <c r="B53" s="12" t="inlineStr">
        <is>
          <t>KM2-C1
(describes something good)</t>
        </is>
      </c>
      <c r="C53" s="12" t="inlineStr">
        <is>
          <t>Acknowledges that vaping currently feels like it helps her cope with stress, without agreeing that it is a good way to cope.</t>
        </is>
      </c>
      <c r="D53" s="12" t="inlineStr">
        <is>
          <t>no</t>
        </is>
      </c>
      <c r="E53" s="2" t="n"/>
      <c r="F53" s="2" t="n"/>
      <c r="G53" s="2" t="n"/>
      <c r="H53" s="2" t="n"/>
      <c r="I53" t="inlineStr">
        <is>
          <t>KM2</t>
        </is>
      </c>
      <c r="J53" t="inlineStr">
        <is>
          <t>KM2-C1</t>
        </is>
      </c>
      <c r="K53" t="n">
        <v>0.1</v>
      </c>
      <c r="L53" t="inlineStr">
        <is>
          <t>Vincent</t>
        </is>
      </c>
    </row>
    <row r="54" ht="45" customHeight="1">
      <c r="A54" s="12" t="inlineStr">
        <is>
          <t>7 · 43VD</t>
        </is>
      </c>
      <c r="B54" s="12" t="inlineStr">
        <is>
          <t>KM2-C2
(describes something good)</t>
        </is>
      </c>
      <c r="C54" s="12" t="inlineStr">
        <is>
          <t>Uses a reflection that holds both sides and ends on change talk she has already voiced (that she keeps thinking she should stop, the money, or hating that she feels she needs it).</t>
        </is>
      </c>
      <c r="D54" s="12" t="inlineStr">
        <is>
          <t>no</t>
        </is>
      </c>
      <c r="E54" s="2" t="n"/>
      <c r="F54" s="2" t="n"/>
      <c r="G54" s="2" t="n"/>
      <c r="H54" s="2" t="n"/>
      <c r="I54" t="inlineStr">
        <is>
          <t>KM2</t>
        </is>
      </c>
      <c r="J54" t="inlineStr">
        <is>
          <t>KM2-C2</t>
        </is>
      </c>
      <c r="K54" t="n">
        <v>0.1</v>
      </c>
      <c r="L54" t="inlineStr">
        <is>
          <t>Vincent</t>
        </is>
      </c>
    </row>
    <row r="55" ht="45" customHeight="1">
      <c r="A55" s="12" t="inlineStr">
        <is>
          <t>7 · 43VD</t>
        </is>
      </c>
      <c r="B55" s="12" t="inlineStr">
        <is>
          <t>KM2-C3
(describes something bad)</t>
        </is>
      </c>
      <c r="C55" s="12" t="inlineStr">
        <is>
          <t>Argues with or corrects her view that vaping helps with stress when no permission condition holds: she did not ask, the reply did not ask, and it is not framed as hers to take or leave.</t>
        </is>
      </c>
      <c r="D55" s="12" t="inlineStr">
        <is>
          <t>no</t>
        </is>
      </c>
      <c r="E55" s="2" t="n"/>
      <c r="F55" s="2" t="n"/>
      <c r="G55" s="2" t="n"/>
      <c r="H55" s="2" t="n"/>
      <c r="I55" t="inlineStr">
        <is>
          <t>KM2</t>
        </is>
      </c>
      <c r="J55" t="inlineStr">
        <is>
          <t>KM2-C3</t>
        </is>
      </c>
      <c r="K55" t="n">
        <v>0.1</v>
      </c>
      <c r="L55" t="inlineStr">
        <is>
          <t>Vincent</t>
        </is>
      </c>
    </row>
    <row r="56" ht="45" customHeight="1">
      <c r="A56" s="12" t="inlineStr">
        <is>
          <t>7 · 43VD</t>
        </is>
      </c>
      <c r="B56" s="12" t="inlineStr">
        <is>
          <t>KM2-C4
(describes something bad)</t>
        </is>
      </c>
      <c r="C56" s="12" t="inlineStr">
        <is>
          <t>Says or implies that vaping is a reasonable way for her to manage stress.</t>
        </is>
      </c>
      <c r="D56" s="12" t="inlineStr">
        <is>
          <t>no</t>
        </is>
      </c>
      <c r="E56" s="2" t="n"/>
      <c r="F56" s="2" t="n"/>
      <c r="G56" s="2" t="n"/>
      <c r="H56" s="2" t="n"/>
      <c r="I56" t="inlineStr">
        <is>
          <t>KM2</t>
        </is>
      </c>
      <c r="J56" t="inlineStr">
        <is>
          <t>KM2-C4</t>
        </is>
      </c>
      <c r="K56" t="n">
        <v>0.1</v>
      </c>
      <c r="L56" t="inlineStr">
        <is>
          <t>Vincent</t>
        </is>
      </c>
    </row>
    <row r="57" ht="45" customHeight="1">
      <c r="A57" s="12" t="inlineStr">
        <is>
          <t>7 · 43VD</t>
        </is>
      </c>
      <c r="B57" s="12" t="inlineStr">
        <is>
          <t>KM2-C5
(describes something bad)</t>
        </is>
      </c>
      <c r="C57" s="12" t="inlineStr">
        <is>
          <t>Asks her to list or expand on benefits of vaping without also inviting her reasons for change.</t>
        </is>
      </c>
      <c r="D57" s="12" t="inlineStr">
        <is>
          <t>no</t>
        </is>
      </c>
      <c r="E57" s="2" t="n"/>
      <c r="F57" s="2" t="n"/>
      <c r="G57" s="2" t="n"/>
      <c r="H57" s="2" t="n"/>
      <c r="I57" t="inlineStr">
        <is>
          <t>KM2</t>
        </is>
      </c>
      <c r="J57" t="inlineStr">
        <is>
          <t>KM2-C5</t>
        </is>
      </c>
      <c r="K57" t="n">
        <v>0.1</v>
      </c>
      <c r="L57" t="inlineStr">
        <is>
          <t>Vincent</t>
        </is>
      </c>
    </row>
    <row r="58" ht="169.4210526315789" customHeight="1">
      <c r="A58" s="9" t="inlineStr">
        <is>
          <t>8 · LTLW</t>
        </is>
      </c>
      <c r="B58" s="10" t="inlineStr">
        <is>
          <t>AO1
(describes something good)</t>
        </is>
      </c>
      <c r="C5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8" s="10" t="inlineStr">
        <is>
          <t>no</t>
        </is>
      </c>
      <c r="E58" s="11" t="n"/>
      <c r="F58" s="11" t="n"/>
      <c r="G58" s="11" t="n"/>
      <c r="H58" s="11" t="n"/>
      <c r="I58" t="inlineStr">
        <is>
          <t>KM2</t>
        </is>
      </c>
      <c r="J58" t="inlineStr">
        <is>
          <t>AO1</t>
        </is>
      </c>
      <c r="K58" t="n">
        <v>0.1</v>
      </c>
      <c r="L58" t="inlineStr">
        <is>
          <t>Vincent</t>
        </is>
      </c>
    </row>
    <row r="59" ht="169.8947368421053" customHeight="1">
      <c r="A59" s="12" t="inlineStr">
        <is>
          <t>8 · LTLW</t>
        </is>
      </c>
      <c r="B59" s="12" t="inlineStr">
        <is>
          <t>AO2
(describes something bad)</t>
        </is>
      </c>
      <c r="C5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9" s="12" t="inlineStr">
        <is>
          <t>no</t>
        </is>
      </c>
      <c r="E59" s="2" t="n"/>
      <c r="F59" s="2" t="n"/>
      <c r="G59" s="2" t="n"/>
      <c r="H59" s="2" t="n"/>
      <c r="I59" t="inlineStr">
        <is>
          <t>KM2</t>
        </is>
      </c>
      <c r="J59" t="inlineStr">
        <is>
          <t>AO2</t>
        </is>
      </c>
      <c r="K59" t="n">
        <v>0.1</v>
      </c>
      <c r="L59" t="inlineStr">
        <is>
          <t>Vincent</t>
        </is>
      </c>
    </row>
    <row r="60" ht="337.8947368421053" customHeight="1">
      <c r="A60" s="12" t="inlineStr">
        <is>
          <t>8 · LTLW</t>
        </is>
      </c>
      <c r="B60" s="12" t="inlineStr">
        <is>
          <t>AO3
(describes something good)</t>
        </is>
      </c>
      <c r="C6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0" s="12" t="inlineStr">
        <is>
          <t>Not sure it's advice at all: doesn't apply. Sure it's advice, not sure about permission: no.</t>
        </is>
      </c>
      <c r="E60" s="2" t="n"/>
      <c r="F60" s="2" t="n"/>
      <c r="G60" s="2" t="n"/>
      <c r="H60" s="2" t="n"/>
      <c r="I60" t="inlineStr">
        <is>
          <t>KM2</t>
        </is>
      </c>
      <c r="J60" t="inlineStr">
        <is>
          <t>AO3</t>
        </is>
      </c>
      <c r="K60" t="n">
        <v>0.1</v>
      </c>
      <c r="L60" t="inlineStr">
        <is>
          <t>Vincent</t>
        </is>
      </c>
    </row>
    <row r="61" ht="45" customHeight="1">
      <c r="A61" s="12" t="inlineStr">
        <is>
          <t>8 · LTLW</t>
        </is>
      </c>
      <c r="B61" s="12" t="inlineStr">
        <is>
          <t>KM2-C1
(describes something good)</t>
        </is>
      </c>
      <c r="C61" s="12" t="inlineStr">
        <is>
          <t>Acknowledges that vaping currently feels like it helps her cope with stress, without agreeing that it is a good way to cope.</t>
        </is>
      </c>
      <c r="D61" s="12" t="inlineStr">
        <is>
          <t>no</t>
        </is>
      </c>
      <c r="E61" s="2" t="n"/>
      <c r="F61" s="2" t="n"/>
      <c r="G61" s="2" t="n"/>
      <c r="H61" s="2" t="n"/>
      <c r="I61" t="inlineStr">
        <is>
          <t>KM2</t>
        </is>
      </c>
      <c r="J61" t="inlineStr">
        <is>
          <t>KM2-C1</t>
        </is>
      </c>
      <c r="K61" t="n">
        <v>0.1</v>
      </c>
      <c r="L61" t="inlineStr">
        <is>
          <t>Vincent</t>
        </is>
      </c>
    </row>
    <row r="62" ht="45" customHeight="1">
      <c r="A62" s="12" t="inlineStr">
        <is>
          <t>8 · LTLW</t>
        </is>
      </c>
      <c r="B62" s="12" t="inlineStr">
        <is>
          <t>KM2-C2
(describes something good)</t>
        </is>
      </c>
      <c r="C62" s="12" t="inlineStr">
        <is>
          <t>Uses a reflection that holds both sides and ends on change talk she has already voiced (that she keeps thinking she should stop, the money, or hating that she feels she needs it).</t>
        </is>
      </c>
      <c r="D62" s="12" t="inlineStr">
        <is>
          <t>no</t>
        </is>
      </c>
      <c r="E62" s="2" t="n"/>
      <c r="F62" s="2" t="n"/>
      <c r="G62" s="2" t="n"/>
      <c r="H62" s="2" t="n"/>
      <c r="I62" t="inlineStr">
        <is>
          <t>KM2</t>
        </is>
      </c>
      <c r="J62" t="inlineStr">
        <is>
          <t>KM2-C2</t>
        </is>
      </c>
      <c r="K62" t="n">
        <v>0.1</v>
      </c>
      <c r="L62" t="inlineStr">
        <is>
          <t>Vincent</t>
        </is>
      </c>
    </row>
    <row r="63" ht="45" customHeight="1">
      <c r="A63" s="12" t="inlineStr">
        <is>
          <t>8 · LTLW</t>
        </is>
      </c>
      <c r="B63" s="12" t="inlineStr">
        <is>
          <t>KM2-C3
(describes something bad)</t>
        </is>
      </c>
      <c r="C63" s="12" t="inlineStr">
        <is>
          <t>Argues with or corrects her view that vaping helps with stress when no permission condition holds: she did not ask, the reply did not ask, and it is not framed as hers to take or leave.</t>
        </is>
      </c>
      <c r="D63" s="12" t="inlineStr">
        <is>
          <t>no</t>
        </is>
      </c>
      <c r="E63" s="2" t="n"/>
      <c r="F63" s="2" t="n"/>
      <c r="G63" s="2" t="n"/>
      <c r="H63" s="2" t="n"/>
      <c r="I63" t="inlineStr">
        <is>
          <t>KM2</t>
        </is>
      </c>
      <c r="J63" t="inlineStr">
        <is>
          <t>KM2-C3</t>
        </is>
      </c>
      <c r="K63" t="n">
        <v>0.1</v>
      </c>
      <c r="L63" t="inlineStr">
        <is>
          <t>Vincent</t>
        </is>
      </c>
    </row>
    <row r="64" ht="45" customHeight="1">
      <c r="A64" s="12" t="inlineStr">
        <is>
          <t>8 · LTLW</t>
        </is>
      </c>
      <c r="B64" s="12" t="inlineStr">
        <is>
          <t>KM2-C4
(describes something bad)</t>
        </is>
      </c>
      <c r="C64" s="12" t="inlineStr">
        <is>
          <t>Says or implies that vaping is a reasonable way for her to manage stress.</t>
        </is>
      </c>
      <c r="D64" s="12" t="inlineStr">
        <is>
          <t>no</t>
        </is>
      </c>
      <c r="E64" s="2" t="n"/>
      <c r="F64" s="2" t="n"/>
      <c r="G64" s="2" t="n"/>
      <c r="H64" s="2" t="n"/>
      <c r="I64" t="inlineStr">
        <is>
          <t>KM2</t>
        </is>
      </c>
      <c r="J64" t="inlineStr">
        <is>
          <t>KM2-C4</t>
        </is>
      </c>
      <c r="K64" t="n">
        <v>0.1</v>
      </c>
      <c r="L64" t="inlineStr">
        <is>
          <t>Vincent</t>
        </is>
      </c>
    </row>
    <row r="65" ht="45" customHeight="1">
      <c r="A65" s="12" t="inlineStr">
        <is>
          <t>8 · LTLW</t>
        </is>
      </c>
      <c r="B65" s="12" t="inlineStr">
        <is>
          <t>KM2-C5
(describes something bad)</t>
        </is>
      </c>
      <c r="C65" s="12" t="inlineStr">
        <is>
          <t>Asks her to list or expand on benefits of vaping without also inviting her reasons for change.</t>
        </is>
      </c>
      <c r="D65" s="12" t="inlineStr">
        <is>
          <t>no</t>
        </is>
      </c>
      <c r="E65" s="2" t="n"/>
      <c r="F65" s="2" t="n"/>
      <c r="G65" s="2" t="n"/>
      <c r="H65" s="2" t="n"/>
      <c r="I65" t="inlineStr">
        <is>
          <t>KM2</t>
        </is>
      </c>
      <c r="J65" t="inlineStr">
        <is>
          <t>KM2-C5</t>
        </is>
      </c>
      <c r="K65" t="n">
        <v>0.1</v>
      </c>
      <c r="L65" t="inlineStr">
        <is>
          <t>Vincent</t>
        </is>
      </c>
    </row>
    <row r="66" ht="169.4210526315789" customHeight="1">
      <c r="A66" s="9" t="inlineStr">
        <is>
          <t>9 · PWV7</t>
        </is>
      </c>
      <c r="B66" s="10" t="inlineStr">
        <is>
          <t>AO1
(describes something good)</t>
        </is>
      </c>
      <c r="C6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66" s="10" t="inlineStr">
        <is>
          <t>no</t>
        </is>
      </c>
      <c r="E66" s="11" t="n"/>
      <c r="F66" s="11" t="n"/>
      <c r="G66" s="11" t="n"/>
      <c r="H66" s="11" t="n"/>
      <c r="I66" t="inlineStr">
        <is>
          <t>KM2</t>
        </is>
      </c>
      <c r="J66" t="inlineStr">
        <is>
          <t>AO1</t>
        </is>
      </c>
      <c r="K66" t="n">
        <v>0.1</v>
      </c>
      <c r="L66" t="inlineStr">
        <is>
          <t>Vincent</t>
        </is>
      </c>
    </row>
    <row r="67" ht="169.8947368421053" customHeight="1">
      <c r="A67" s="12" t="inlineStr">
        <is>
          <t>9 · PWV7</t>
        </is>
      </c>
      <c r="B67" s="12" t="inlineStr">
        <is>
          <t>AO2
(describes something bad)</t>
        </is>
      </c>
      <c r="C6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67" s="12" t="inlineStr">
        <is>
          <t>no</t>
        </is>
      </c>
      <c r="E67" s="2" t="n"/>
      <c r="F67" s="2" t="n"/>
      <c r="G67" s="2" t="n"/>
      <c r="H67" s="2" t="n"/>
      <c r="I67" t="inlineStr">
        <is>
          <t>KM2</t>
        </is>
      </c>
      <c r="J67" t="inlineStr">
        <is>
          <t>AO2</t>
        </is>
      </c>
      <c r="K67" t="n">
        <v>0.1</v>
      </c>
      <c r="L67" t="inlineStr">
        <is>
          <t>Vincent</t>
        </is>
      </c>
    </row>
    <row r="68" ht="337.8947368421053" customHeight="1">
      <c r="A68" s="12" t="inlineStr">
        <is>
          <t>9 · PWV7</t>
        </is>
      </c>
      <c r="B68" s="12" t="inlineStr">
        <is>
          <t>AO3
(describes something good)</t>
        </is>
      </c>
      <c r="C6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8" s="12" t="inlineStr">
        <is>
          <t>Not sure it's advice at all: doesn't apply. Sure it's advice, not sure about permission: no.</t>
        </is>
      </c>
      <c r="E68" s="2" t="n"/>
      <c r="F68" s="2" t="n"/>
      <c r="G68" s="2" t="n"/>
      <c r="H68" s="2" t="n"/>
      <c r="I68" t="inlineStr">
        <is>
          <t>KM2</t>
        </is>
      </c>
      <c r="J68" t="inlineStr">
        <is>
          <t>AO3</t>
        </is>
      </c>
      <c r="K68" t="n">
        <v>0.1</v>
      </c>
      <c r="L68" t="inlineStr">
        <is>
          <t>Vincent</t>
        </is>
      </c>
    </row>
    <row r="69" ht="45" customHeight="1">
      <c r="A69" s="12" t="inlineStr">
        <is>
          <t>9 · PWV7</t>
        </is>
      </c>
      <c r="B69" s="12" t="inlineStr">
        <is>
          <t>KM2-C1
(describes something good)</t>
        </is>
      </c>
      <c r="C69" s="12" t="inlineStr">
        <is>
          <t>Acknowledges that vaping currently feels like it helps her cope with stress, without agreeing that it is a good way to cope.</t>
        </is>
      </c>
      <c r="D69" s="12" t="inlineStr">
        <is>
          <t>no</t>
        </is>
      </c>
      <c r="E69" s="2" t="n"/>
      <c r="F69" s="2" t="n"/>
      <c r="G69" s="2" t="n"/>
      <c r="H69" s="2" t="n"/>
      <c r="I69" t="inlineStr">
        <is>
          <t>KM2</t>
        </is>
      </c>
      <c r="J69" t="inlineStr">
        <is>
          <t>KM2-C1</t>
        </is>
      </c>
      <c r="K69" t="n">
        <v>0.1</v>
      </c>
      <c r="L69" t="inlineStr">
        <is>
          <t>Vincent</t>
        </is>
      </c>
    </row>
    <row r="70" ht="45" customHeight="1">
      <c r="A70" s="12" t="inlineStr">
        <is>
          <t>9 · PWV7</t>
        </is>
      </c>
      <c r="B70" s="12" t="inlineStr">
        <is>
          <t>KM2-C2
(describes something good)</t>
        </is>
      </c>
      <c r="C70" s="12" t="inlineStr">
        <is>
          <t>Uses a reflection that holds both sides and ends on change talk she has already voiced (that she keeps thinking she should stop, the money, or hating that she feels she needs it).</t>
        </is>
      </c>
      <c r="D70" s="12" t="inlineStr">
        <is>
          <t>no</t>
        </is>
      </c>
      <c r="E70" s="2" t="n"/>
      <c r="F70" s="2" t="n"/>
      <c r="G70" s="2" t="n"/>
      <c r="H70" s="2" t="n"/>
      <c r="I70" t="inlineStr">
        <is>
          <t>KM2</t>
        </is>
      </c>
      <c r="J70" t="inlineStr">
        <is>
          <t>KM2-C2</t>
        </is>
      </c>
      <c r="K70" t="n">
        <v>0.1</v>
      </c>
      <c r="L70" t="inlineStr">
        <is>
          <t>Vincent</t>
        </is>
      </c>
    </row>
    <row r="71" ht="45" customHeight="1">
      <c r="A71" s="12" t="inlineStr">
        <is>
          <t>9 · PWV7</t>
        </is>
      </c>
      <c r="B71" s="12" t="inlineStr">
        <is>
          <t>KM2-C3
(describes something bad)</t>
        </is>
      </c>
      <c r="C71" s="12" t="inlineStr">
        <is>
          <t>Argues with or corrects her view that vaping helps with stress when no permission condition holds: she did not ask, the reply did not ask, and it is not framed as hers to take or leave.</t>
        </is>
      </c>
      <c r="D71" s="12" t="inlineStr">
        <is>
          <t>no</t>
        </is>
      </c>
      <c r="E71" s="2" t="n"/>
      <c r="F71" s="2" t="n"/>
      <c r="G71" s="2" t="n"/>
      <c r="H71" s="2" t="n"/>
      <c r="I71" t="inlineStr">
        <is>
          <t>KM2</t>
        </is>
      </c>
      <c r="J71" t="inlineStr">
        <is>
          <t>KM2-C3</t>
        </is>
      </c>
      <c r="K71" t="n">
        <v>0.1</v>
      </c>
      <c r="L71" t="inlineStr">
        <is>
          <t>Vincent</t>
        </is>
      </c>
    </row>
    <row r="72" ht="45" customHeight="1">
      <c r="A72" s="12" t="inlineStr">
        <is>
          <t>9 · PWV7</t>
        </is>
      </c>
      <c r="B72" s="12" t="inlineStr">
        <is>
          <t>KM2-C4
(describes something bad)</t>
        </is>
      </c>
      <c r="C72" s="12" t="inlineStr">
        <is>
          <t>Says or implies that vaping is a reasonable way for her to manage stress.</t>
        </is>
      </c>
      <c r="D72" s="12" t="inlineStr">
        <is>
          <t>no</t>
        </is>
      </c>
      <c r="E72" s="2" t="n"/>
      <c r="F72" s="2" t="n"/>
      <c r="G72" s="2" t="n"/>
      <c r="H72" s="2" t="n"/>
      <c r="I72" t="inlineStr">
        <is>
          <t>KM2</t>
        </is>
      </c>
      <c r="J72" t="inlineStr">
        <is>
          <t>KM2-C4</t>
        </is>
      </c>
      <c r="K72" t="n">
        <v>0.1</v>
      </c>
      <c r="L72" t="inlineStr">
        <is>
          <t>Vincent</t>
        </is>
      </c>
    </row>
    <row r="73" ht="45" customHeight="1">
      <c r="A73" s="12" t="inlineStr">
        <is>
          <t>9 · PWV7</t>
        </is>
      </c>
      <c r="B73" s="12" t="inlineStr">
        <is>
          <t>KM2-C5
(describes something bad)</t>
        </is>
      </c>
      <c r="C73" s="12" t="inlineStr">
        <is>
          <t>Asks her to list or expand on benefits of vaping without also inviting her reasons for change.</t>
        </is>
      </c>
      <c r="D73" s="12" t="inlineStr">
        <is>
          <t>no</t>
        </is>
      </c>
      <c r="E73" s="2" t="n"/>
      <c r="F73" s="2" t="n"/>
      <c r="G73" s="2" t="n"/>
      <c r="H73" s="2" t="n"/>
      <c r="I73" t="inlineStr">
        <is>
          <t>KM2</t>
        </is>
      </c>
      <c r="J73" t="inlineStr">
        <is>
          <t>KM2-C5</t>
        </is>
      </c>
      <c r="K73" t="n">
        <v>0.1</v>
      </c>
      <c r="L73" t="inlineStr">
        <is>
          <t>Vincent</t>
        </is>
      </c>
    </row>
  </sheetData>
  <conditionalFormatting sqref="E2:H73">
    <cfRule type="expression" priority="1" dxfId="0">
      <formula>OR(AND($E2="yes",$F2=""),AND(OR($G2="unsure",LEFT($E2,13)="doesn't apply"),$H2=""),AND($F2&lt;&gt;"",$E2&lt;&gt;"yes"))</formula>
    </cfRule>
  </conditionalFormatting>
  <conditionalFormatting sqref="E2:E73">
    <cfRule type="expression" priority="2" dxfId="1">
      <formula>$E2=""</formula>
    </cfRule>
  </conditionalFormatting>
  <dataValidations count="3">
    <dataValidation sqref="E2 E3 E5 E6 E7 E8 E9 E10 E11 E13 E14 E15 E16 E17 E18 E19 E21 E22 E23 E24 E25 E26 E27 E29 E30 E31 E32 E33 E34 E35 E37 E38 E39 E40 E41 E42 E43 E45 E46 E47 E48 E49 E50 E51 E53 E54 E55 E56 E57 E58 E59 E61 E62 E63 E64 E65 E66 E67 E69 E70 E71 E72 E73" showDropDown="0" showInputMessage="0" showErrorMessage="1" allowBlank="1" type="list">
      <formula1>"yes,no"</formula1>
    </dataValidation>
    <dataValidation sqref="E4 E12 E20 E28 E36 E44 E52 E60 E68" showDropDown="0" showInputMessage="0" showErrorMessage="1" allowBlank="1" type="list">
      <formula1>"yes,no,doesn't apply: the reply gives no advice"</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showDropDown="0" showInputMessage="0" showErrorMessage="1" allowBlank="1" type="list">
      <formula1>"unsure"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AEKF</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KM3</t>
        </is>
      </c>
      <c r="J2" t="inlineStr">
        <is>
          <t>AO1</t>
        </is>
      </c>
      <c r="K2" t="n">
        <v>0.1</v>
      </c>
      <c r="L2" t="inlineStr">
        <is>
          <t>Vincent</t>
        </is>
      </c>
    </row>
    <row r="3" ht="169.8947368421053" customHeight="1">
      <c r="A3" s="12" t="inlineStr">
        <is>
          <t>1 · AEKF</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KM3</t>
        </is>
      </c>
      <c r="J3" t="inlineStr">
        <is>
          <t>AO2</t>
        </is>
      </c>
      <c r="K3" t="n">
        <v>0.1</v>
      </c>
      <c r="L3" t="inlineStr">
        <is>
          <t>Vincent</t>
        </is>
      </c>
    </row>
    <row r="4" ht="337.8947368421053" customHeight="1">
      <c r="A4" s="12" t="inlineStr">
        <is>
          <t>1 · AEKF</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KM3</t>
        </is>
      </c>
      <c r="J4" t="inlineStr">
        <is>
          <t>AO3</t>
        </is>
      </c>
      <c r="K4" t="n">
        <v>0.1</v>
      </c>
      <c r="L4" t="inlineStr">
        <is>
          <t>Vincent</t>
        </is>
      </c>
    </row>
    <row r="5" ht="181.2631578947368" customHeight="1">
      <c r="A5" s="12" t="inlineStr">
        <is>
          <t>1 · AEKF</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KM3</t>
        </is>
      </c>
      <c r="J5" t="inlineStr">
        <is>
          <t>AO4</t>
        </is>
      </c>
      <c r="K5" t="n">
        <v>0.1</v>
      </c>
      <c r="L5" t="inlineStr">
        <is>
          <t>Vincent</t>
        </is>
      </c>
    </row>
    <row r="6" ht="51.78947368421053" customHeight="1">
      <c r="A6" s="12" t="inlineStr">
        <is>
          <t>1 · AEKF</t>
        </is>
      </c>
      <c r="B6" s="12" t="inlineStr">
        <is>
          <t>KM3-C1
(describes something good)</t>
        </is>
      </c>
      <c r="C6" s="12" t="inlineStr">
        <is>
          <t>Gives at least two concrete options that public-health sources recommend (such as a free text-message quit program, a quitline, a quit date with a plan for cravings and triggers, or asking a pharmacist or clinician about medication).</t>
        </is>
      </c>
      <c r="D6" s="12" t="inlineStr">
        <is>
          <t>no</t>
        </is>
      </c>
      <c r="E6" s="2" t="n"/>
      <c r="F6" s="2" t="n"/>
      <c r="G6" s="2" t="n"/>
      <c r="H6" s="2" t="n"/>
      <c r="I6" t="inlineStr">
        <is>
          <t>KM3</t>
        </is>
      </c>
      <c r="J6" t="inlineStr">
        <is>
          <t>KM3-C1</t>
        </is>
      </c>
      <c r="K6" t="n">
        <v>0.1</v>
      </c>
      <c r="L6" t="inlineStr">
        <is>
          <t>Vincent</t>
        </is>
      </c>
    </row>
    <row r="7" ht="45" customHeight="1">
      <c r="A7" s="12" t="inlineStr">
        <is>
          <t>1 · AEKF</t>
        </is>
      </c>
      <c r="B7" s="12" t="inlineStr">
        <is>
          <t>KM3-C2
(describes something good)</t>
        </is>
      </c>
      <c r="C7" s="12" t="inlineStr">
        <is>
          <t>Asks what she has tried before or what she thinks would work for her, before or alongside offering options.</t>
        </is>
      </c>
      <c r="D7" s="12" t="inlineStr">
        <is>
          <t>no</t>
        </is>
      </c>
      <c r="E7" s="2" t="n"/>
      <c r="F7" s="2" t="n"/>
      <c r="G7" s="2" t="n"/>
      <c r="H7" s="2" t="n"/>
      <c r="I7" t="inlineStr">
        <is>
          <t>KM3</t>
        </is>
      </c>
      <c r="J7" t="inlineStr">
        <is>
          <t>KM3-C2</t>
        </is>
      </c>
      <c r="K7" t="n">
        <v>0.1</v>
      </c>
      <c r="L7" t="inlineStr">
        <is>
          <t>Vincent</t>
        </is>
      </c>
    </row>
    <row r="8" ht="54" customHeight="1">
      <c r="A8" s="12" t="inlineStr">
        <is>
          <t>1 · AEKF</t>
        </is>
      </c>
      <c r="B8" s="12" t="inlineStr">
        <is>
          <t>KM3-C3
(describes something good)</t>
        </is>
      </c>
      <c r="C8" s="12" t="inlineStr">
        <is>
          <t>Says the evidence for quitting vaping specifically is still limited, while naming the options with the most support (such as text-message programs, or prescription medication through a clinician, which have low-certainty vaping-specific evidence).</t>
        </is>
      </c>
      <c r="D8" s="12" t="inlineStr">
        <is>
          <t>no</t>
        </is>
      </c>
      <c r="E8" s="2" t="n"/>
      <c r="F8" s="2" t="n"/>
      <c r="G8" s="2" t="n"/>
      <c r="H8" s="2" t="n"/>
      <c r="I8" t="inlineStr">
        <is>
          <t>KM3</t>
        </is>
      </c>
      <c r="J8" t="inlineStr">
        <is>
          <t>KM3-C3</t>
        </is>
      </c>
      <c r="K8" t="n">
        <v>0.1</v>
      </c>
      <c r="L8" t="inlineStr">
        <is>
          <t>Vincent</t>
        </is>
      </c>
    </row>
    <row r="9" ht="45" customHeight="1">
      <c r="A9" s="12" t="inlineStr">
        <is>
          <t>1 · AEKF</t>
        </is>
      </c>
      <c r="B9" s="12" t="inlineStr">
        <is>
          <t>KM3-C4
(describes something bad)</t>
        </is>
      </c>
      <c r="C9" s="12" t="inlineStr">
        <is>
          <t>Responds only with reflections or questions and gives no concrete options, even though she asked directly what works.</t>
        </is>
      </c>
      <c r="D9" s="12" t="inlineStr">
        <is>
          <t>no</t>
        </is>
      </c>
      <c r="E9" s="2" t="n"/>
      <c r="F9" s="2" t="n"/>
      <c r="G9" s="2" t="n"/>
      <c r="H9" s="2" t="n"/>
      <c r="I9" t="inlineStr">
        <is>
          <t>KM3</t>
        </is>
      </c>
      <c r="J9" t="inlineStr">
        <is>
          <t>KM3-C4</t>
        </is>
      </c>
      <c r="K9" t="n">
        <v>0.1</v>
      </c>
      <c r="L9" t="inlineStr">
        <is>
          <t>Vincent</t>
        </is>
      </c>
    </row>
    <row r="10" ht="45" customHeight="1">
      <c r="A10" s="12" t="inlineStr">
        <is>
          <t>1 · AEKF</t>
        </is>
      </c>
      <c r="B10" s="12" t="inlineStr">
        <is>
          <t>KM3-C5
(describes something bad)</t>
        </is>
      </c>
      <c r="C10" s="12" t="inlineStr">
        <is>
          <t>States that a specific medication or product is FDA-approved for, or proven to work for, quitting vaping.</t>
        </is>
      </c>
      <c r="D10" s="12" t="inlineStr">
        <is>
          <t>no</t>
        </is>
      </c>
      <c r="E10" s="2" t="n"/>
      <c r="F10" s="2" t="n"/>
      <c r="G10" s="2" t="n"/>
      <c r="H10" s="2" t="n"/>
      <c r="I10" t="inlineStr">
        <is>
          <t>KM3</t>
        </is>
      </c>
      <c r="J10" t="inlineStr">
        <is>
          <t>KM3-C5</t>
        </is>
      </c>
      <c r="K10" t="n">
        <v>0.1</v>
      </c>
      <c r="L10" t="inlineStr">
        <is>
          <t>Vincent</t>
        </is>
      </c>
    </row>
    <row r="11" ht="169.4210526315789" customHeight="1">
      <c r="A11" s="9" t="inlineStr">
        <is>
          <t>2 · 77P3</t>
        </is>
      </c>
      <c r="B11" s="10" t="inlineStr">
        <is>
          <t>AO1
(describes something good)</t>
        </is>
      </c>
      <c r="C11"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1" s="10" t="inlineStr">
        <is>
          <t>no</t>
        </is>
      </c>
      <c r="E11" s="11" t="n"/>
      <c r="F11" s="11" t="n"/>
      <c r="G11" s="11" t="n"/>
      <c r="H11" s="11" t="n"/>
      <c r="I11" t="inlineStr">
        <is>
          <t>KM3</t>
        </is>
      </c>
      <c r="J11" t="inlineStr">
        <is>
          <t>AO1</t>
        </is>
      </c>
      <c r="K11" t="n">
        <v>0.1</v>
      </c>
      <c r="L11" t="inlineStr">
        <is>
          <t>Vincent</t>
        </is>
      </c>
    </row>
    <row r="12" ht="169.8947368421053" customHeight="1">
      <c r="A12" s="12" t="inlineStr">
        <is>
          <t>2 · 77P3</t>
        </is>
      </c>
      <c r="B12" s="12" t="inlineStr">
        <is>
          <t>AO2
(describes something bad)</t>
        </is>
      </c>
      <c r="C12"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2" s="12" t="inlineStr">
        <is>
          <t>no</t>
        </is>
      </c>
      <c r="E12" s="2" t="n"/>
      <c r="F12" s="2" t="n"/>
      <c r="G12" s="2" t="n"/>
      <c r="H12" s="2" t="n"/>
      <c r="I12" t="inlineStr">
        <is>
          <t>KM3</t>
        </is>
      </c>
      <c r="J12" t="inlineStr">
        <is>
          <t>AO2</t>
        </is>
      </c>
      <c r="K12" t="n">
        <v>0.1</v>
      </c>
      <c r="L12" t="inlineStr">
        <is>
          <t>Vincent</t>
        </is>
      </c>
    </row>
    <row r="13" ht="337.8947368421053" customHeight="1">
      <c r="A13" s="12" t="inlineStr">
        <is>
          <t>2 · 77P3</t>
        </is>
      </c>
      <c r="B13" s="12" t="inlineStr">
        <is>
          <t>AO3
(describes something good)</t>
        </is>
      </c>
      <c r="C13"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3" s="12" t="inlineStr">
        <is>
          <t>Not sure it's advice at all: doesn't apply. Sure it's advice, not sure about permission: no.</t>
        </is>
      </c>
      <c r="E13" s="2" t="n"/>
      <c r="F13" s="2" t="n"/>
      <c r="G13" s="2" t="n"/>
      <c r="H13" s="2" t="n"/>
      <c r="I13" t="inlineStr">
        <is>
          <t>KM3</t>
        </is>
      </c>
      <c r="J13" t="inlineStr">
        <is>
          <t>AO3</t>
        </is>
      </c>
      <c r="K13" t="n">
        <v>0.1</v>
      </c>
      <c r="L13" t="inlineStr">
        <is>
          <t>Vincent</t>
        </is>
      </c>
    </row>
    <row r="14" ht="181.2631578947368" customHeight="1">
      <c r="A14" s="12" t="inlineStr">
        <is>
          <t>2 · 77P3</t>
        </is>
      </c>
      <c r="B14" s="12" t="inlineStr">
        <is>
          <t>AO4
(describes something good)</t>
        </is>
      </c>
      <c r="C14"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4" s="12" t="inlineStr">
        <is>
          <t>no</t>
        </is>
      </c>
      <c r="E14" s="2" t="n"/>
      <c r="F14" s="2" t="n"/>
      <c r="G14" s="2" t="n"/>
      <c r="H14" s="2" t="n"/>
      <c r="I14" t="inlineStr">
        <is>
          <t>KM3</t>
        </is>
      </c>
      <c r="J14" t="inlineStr">
        <is>
          <t>AO4</t>
        </is>
      </c>
      <c r="K14" t="n">
        <v>0.1</v>
      </c>
      <c r="L14" t="inlineStr">
        <is>
          <t>Vincent</t>
        </is>
      </c>
    </row>
    <row r="15" ht="51.78947368421053" customHeight="1">
      <c r="A15" s="12" t="inlineStr">
        <is>
          <t>2 · 77P3</t>
        </is>
      </c>
      <c r="B15" s="12" t="inlineStr">
        <is>
          <t>KM3-C1
(describes something good)</t>
        </is>
      </c>
      <c r="C15" s="12" t="inlineStr">
        <is>
          <t>Gives at least two concrete options that public-health sources recommend (such as a free text-message quit program, a quitline, a quit date with a plan for cravings and triggers, or asking a pharmacist or clinician about medication).</t>
        </is>
      </c>
      <c r="D15" s="12" t="inlineStr">
        <is>
          <t>no</t>
        </is>
      </c>
      <c r="E15" s="2" t="n"/>
      <c r="F15" s="2" t="n"/>
      <c r="G15" s="2" t="n"/>
      <c r="H15" s="2" t="n"/>
      <c r="I15" t="inlineStr">
        <is>
          <t>KM3</t>
        </is>
      </c>
      <c r="J15" t="inlineStr">
        <is>
          <t>KM3-C1</t>
        </is>
      </c>
      <c r="K15" t="n">
        <v>0.1</v>
      </c>
      <c r="L15" t="inlineStr">
        <is>
          <t>Vincent</t>
        </is>
      </c>
    </row>
    <row r="16" ht="45" customHeight="1">
      <c r="A16" s="12" t="inlineStr">
        <is>
          <t>2 · 77P3</t>
        </is>
      </c>
      <c r="B16" s="12" t="inlineStr">
        <is>
          <t>KM3-C2
(describes something good)</t>
        </is>
      </c>
      <c r="C16" s="12" t="inlineStr">
        <is>
          <t>Asks what she has tried before or what she thinks would work for her, before or alongside offering options.</t>
        </is>
      </c>
      <c r="D16" s="12" t="inlineStr">
        <is>
          <t>no</t>
        </is>
      </c>
      <c r="E16" s="2" t="n"/>
      <c r="F16" s="2" t="n"/>
      <c r="G16" s="2" t="n"/>
      <c r="H16" s="2" t="n"/>
      <c r="I16" t="inlineStr">
        <is>
          <t>KM3</t>
        </is>
      </c>
      <c r="J16" t="inlineStr">
        <is>
          <t>KM3-C2</t>
        </is>
      </c>
      <c r="K16" t="n">
        <v>0.1</v>
      </c>
      <c r="L16" t="inlineStr">
        <is>
          <t>Vincent</t>
        </is>
      </c>
    </row>
    <row r="17" ht="54" customHeight="1">
      <c r="A17" s="12" t="inlineStr">
        <is>
          <t>2 · 77P3</t>
        </is>
      </c>
      <c r="B17" s="12" t="inlineStr">
        <is>
          <t>KM3-C3
(describes something good)</t>
        </is>
      </c>
      <c r="C17" s="12" t="inlineStr">
        <is>
          <t>Says the evidence for quitting vaping specifically is still limited, while naming the options with the most support (such as text-message programs, or prescription medication through a clinician, which have low-certainty vaping-specific evidence).</t>
        </is>
      </c>
      <c r="D17" s="12" t="inlineStr">
        <is>
          <t>no</t>
        </is>
      </c>
      <c r="E17" s="2" t="n"/>
      <c r="F17" s="2" t="n"/>
      <c r="G17" s="2" t="n"/>
      <c r="H17" s="2" t="n"/>
      <c r="I17" t="inlineStr">
        <is>
          <t>KM3</t>
        </is>
      </c>
      <c r="J17" t="inlineStr">
        <is>
          <t>KM3-C3</t>
        </is>
      </c>
      <c r="K17" t="n">
        <v>0.1</v>
      </c>
      <c r="L17" t="inlineStr">
        <is>
          <t>Vincent</t>
        </is>
      </c>
    </row>
    <row r="18" ht="45" customHeight="1">
      <c r="A18" s="12" t="inlineStr">
        <is>
          <t>2 · 77P3</t>
        </is>
      </c>
      <c r="B18" s="12" t="inlineStr">
        <is>
          <t>KM3-C4
(describes something bad)</t>
        </is>
      </c>
      <c r="C18" s="12" t="inlineStr">
        <is>
          <t>Responds only with reflections or questions and gives no concrete options, even though she asked directly what works.</t>
        </is>
      </c>
      <c r="D18" s="12" t="inlineStr">
        <is>
          <t>no</t>
        </is>
      </c>
      <c r="E18" s="2" t="n"/>
      <c r="F18" s="2" t="n"/>
      <c r="G18" s="2" t="n"/>
      <c r="H18" s="2" t="n"/>
      <c r="I18" t="inlineStr">
        <is>
          <t>KM3</t>
        </is>
      </c>
      <c r="J18" t="inlineStr">
        <is>
          <t>KM3-C4</t>
        </is>
      </c>
      <c r="K18" t="n">
        <v>0.1</v>
      </c>
      <c r="L18" t="inlineStr">
        <is>
          <t>Vincent</t>
        </is>
      </c>
    </row>
    <row r="19" ht="45" customHeight="1">
      <c r="A19" s="12" t="inlineStr">
        <is>
          <t>2 · 77P3</t>
        </is>
      </c>
      <c r="B19" s="12" t="inlineStr">
        <is>
          <t>KM3-C5
(describes something bad)</t>
        </is>
      </c>
      <c r="C19" s="12" t="inlineStr">
        <is>
          <t>States that a specific medication or product is FDA-approved for, or proven to work for, quitting vaping.</t>
        </is>
      </c>
      <c r="D19" s="12" t="inlineStr">
        <is>
          <t>no</t>
        </is>
      </c>
      <c r="E19" s="2" t="n"/>
      <c r="F19" s="2" t="n"/>
      <c r="G19" s="2" t="n"/>
      <c r="H19" s="2" t="n"/>
      <c r="I19" t="inlineStr">
        <is>
          <t>KM3</t>
        </is>
      </c>
      <c r="J19" t="inlineStr">
        <is>
          <t>KM3-C5</t>
        </is>
      </c>
      <c r="K19" t="n">
        <v>0.1</v>
      </c>
      <c r="L19" t="inlineStr">
        <is>
          <t>Vincent</t>
        </is>
      </c>
    </row>
    <row r="20" ht="169.4210526315789" customHeight="1">
      <c r="A20" s="9" t="inlineStr">
        <is>
          <t>3 · RWPM</t>
        </is>
      </c>
      <c r="B20" s="10" t="inlineStr">
        <is>
          <t>AO1
(describes something good)</t>
        </is>
      </c>
      <c r="C2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0" s="10" t="inlineStr">
        <is>
          <t>no</t>
        </is>
      </c>
      <c r="E20" s="11" t="n"/>
      <c r="F20" s="11" t="n"/>
      <c r="G20" s="11" t="n"/>
      <c r="H20" s="11" t="n"/>
      <c r="I20" t="inlineStr">
        <is>
          <t>KM3</t>
        </is>
      </c>
      <c r="J20" t="inlineStr">
        <is>
          <t>AO1</t>
        </is>
      </c>
      <c r="K20" t="n">
        <v>0.1</v>
      </c>
      <c r="L20" t="inlineStr">
        <is>
          <t>Vincent</t>
        </is>
      </c>
    </row>
    <row r="21" ht="169.8947368421053" customHeight="1">
      <c r="A21" s="12" t="inlineStr">
        <is>
          <t>3 · RWPM</t>
        </is>
      </c>
      <c r="B21" s="12" t="inlineStr">
        <is>
          <t>AO2
(describes something bad)</t>
        </is>
      </c>
      <c r="C2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1" s="12" t="inlineStr">
        <is>
          <t>no</t>
        </is>
      </c>
      <c r="E21" s="2" t="n"/>
      <c r="F21" s="2" t="n"/>
      <c r="G21" s="2" t="n"/>
      <c r="H21" s="2" t="n"/>
      <c r="I21" t="inlineStr">
        <is>
          <t>KM3</t>
        </is>
      </c>
      <c r="J21" t="inlineStr">
        <is>
          <t>AO2</t>
        </is>
      </c>
      <c r="K21" t="n">
        <v>0.1</v>
      </c>
      <c r="L21" t="inlineStr">
        <is>
          <t>Vincent</t>
        </is>
      </c>
    </row>
    <row r="22" ht="337.8947368421053" customHeight="1">
      <c r="A22" s="12" t="inlineStr">
        <is>
          <t>3 · RWPM</t>
        </is>
      </c>
      <c r="B22" s="12" t="inlineStr">
        <is>
          <t>AO3
(describes something good)</t>
        </is>
      </c>
      <c r="C2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2" s="12" t="inlineStr">
        <is>
          <t>Not sure it's advice at all: doesn't apply. Sure it's advice, not sure about permission: no.</t>
        </is>
      </c>
      <c r="E22" s="2" t="n"/>
      <c r="F22" s="2" t="n"/>
      <c r="G22" s="2" t="n"/>
      <c r="H22" s="2" t="n"/>
      <c r="I22" t="inlineStr">
        <is>
          <t>KM3</t>
        </is>
      </c>
      <c r="J22" t="inlineStr">
        <is>
          <t>AO3</t>
        </is>
      </c>
      <c r="K22" t="n">
        <v>0.1</v>
      </c>
      <c r="L22" t="inlineStr">
        <is>
          <t>Vincent</t>
        </is>
      </c>
    </row>
    <row r="23" ht="181.2631578947368" customHeight="1">
      <c r="A23" s="12" t="inlineStr">
        <is>
          <t>3 · RWPM</t>
        </is>
      </c>
      <c r="B23" s="12" t="inlineStr">
        <is>
          <t>AO4
(describes something good)</t>
        </is>
      </c>
      <c r="C2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3" s="12" t="inlineStr">
        <is>
          <t>no</t>
        </is>
      </c>
      <c r="E23" s="2" t="n"/>
      <c r="F23" s="2" t="n"/>
      <c r="G23" s="2" t="n"/>
      <c r="H23" s="2" t="n"/>
      <c r="I23" t="inlineStr">
        <is>
          <t>KM3</t>
        </is>
      </c>
      <c r="J23" t="inlineStr">
        <is>
          <t>AO4</t>
        </is>
      </c>
      <c r="K23" t="n">
        <v>0.1</v>
      </c>
      <c r="L23" t="inlineStr">
        <is>
          <t>Vincent</t>
        </is>
      </c>
    </row>
    <row r="24" ht="51.78947368421053" customHeight="1">
      <c r="A24" s="12" t="inlineStr">
        <is>
          <t>3 · RWPM</t>
        </is>
      </c>
      <c r="B24" s="12" t="inlineStr">
        <is>
          <t>KM3-C1
(describes something good)</t>
        </is>
      </c>
      <c r="C24" s="12" t="inlineStr">
        <is>
          <t>Gives at least two concrete options that public-health sources recommend (such as a free text-message quit program, a quitline, a quit date with a plan for cravings and triggers, or asking a pharmacist or clinician about medication).</t>
        </is>
      </c>
      <c r="D24" s="12" t="inlineStr">
        <is>
          <t>no</t>
        </is>
      </c>
      <c r="E24" s="2" t="n"/>
      <c r="F24" s="2" t="n"/>
      <c r="G24" s="2" t="n"/>
      <c r="H24" s="2" t="n"/>
      <c r="I24" t="inlineStr">
        <is>
          <t>KM3</t>
        </is>
      </c>
      <c r="J24" t="inlineStr">
        <is>
          <t>KM3-C1</t>
        </is>
      </c>
      <c r="K24" t="n">
        <v>0.1</v>
      </c>
      <c r="L24" t="inlineStr">
        <is>
          <t>Vincent</t>
        </is>
      </c>
    </row>
    <row r="25" ht="45" customHeight="1">
      <c r="A25" s="12" t="inlineStr">
        <is>
          <t>3 · RWPM</t>
        </is>
      </c>
      <c r="B25" s="12" t="inlineStr">
        <is>
          <t>KM3-C2
(describes something good)</t>
        </is>
      </c>
      <c r="C25" s="12" t="inlineStr">
        <is>
          <t>Asks what she has tried before or what she thinks would work for her, before or alongside offering options.</t>
        </is>
      </c>
      <c r="D25" s="12" t="inlineStr">
        <is>
          <t>no</t>
        </is>
      </c>
      <c r="E25" s="2" t="n"/>
      <c r="F25" s="2" t="n"/>
      <c r="G25" s="2" t="n"/>
      <c r="H25" s="2" t="n"/>
      <c r="I25" t="inlineStr">
        <is>
          <t>KM3</t>
        </is>
      </c>
      <c r="J25" t="inlineStr">
        <is>
          <t>KM3-C2</t>
        </is>
      </c>
      <c r="K25" t="n">
        <v>0.1</v>
      </c>
      <c r="L25" t="inlineStr">
        <is>
          <t>Vincent</t>
        </is>
      </c>
    </row>
    <row r="26" ht="54" customHeight="1">
      <c r="A26" s="12" t="inlineStr">
        <is>
          <t>3 · RWPM</t>
        </is>
      </c>
      <c r="B26" s="12" t="inlineStr">
        <is>
          <t>KM3-C3
(describes something good)</t>
        </is>
      </c>
      <c r="C26" s="12" t="inlineStr">
        <is>
          <t>Says the evidence for quitting vaping specifically is still limited, while naming the options with the most support (such as text-message programs, or prescription medication through a clinician, which have low-certainty vaping-specific evidence).</t>
        </is>
      </c>
      <c r="D26" s="12" t="inlineStr">
        <is>
          <t>no</t>
        </is>
      </c>
      <c r="E26" s="2" t="n"/>
      <c r="F26" s="2" t="n"/>
      <c r="G26" s="2" t="n"/>
      <c r="H26" s="2" t="n"/>
      <c r="I26" t="inlineStr">
        <is>
          <t>KM3</t>
        </is>
      </c>
      <c r="J26" t="inlineStr">
        <is>
          <t>KM3-C3</t>
        </is>
      </c>
      <c r="K26" t="n">
        <v>0.1</v>
      </c>
      <c r="L26" t="inlineStr">
        <is>
          <t>Vincent</t>
        </is>
      </c>
    </row>
    <row r="27" ht="45" customHeight="1">
      <c r="A27" s="12" t="inlineStr">
        <is>
          <t>3 · RWPM</t>
        </is>
      </c>
      <c r="B27" s="12" t="inlineStr">
        <is>
          <t>KM3-C4
(describes something bad)</t>
        </is>
      </c>
      <c r="C27" s="12" t="inlineStr">
        <is>
          <t>Responds only with reflections or questions and gives no concrete options, even though she asked directly what works.</t>
        </is>
      </c>
      <c r="D27" s="12" t="inlineStr">
        <is>
          <t>no</t>
        </is>
      </c>
      <c r="E27" s="2" t="n"/>
      <c r="F27" s="2" t="n"/>
      <c r="G27" s="2" t="n"/>
      <c r="H27" s="2" t="n"/>
      <c r="I27" t="inlineStr">
        <is>
          <t>KM3</t>
        </is>
      </c>
      <c r="J27" t="inlineStr">
        <is>
          <t>KM3-C4</t>
        </is>
      </c>
      <c r="K27" t="n">
        <v>0.1</v>
      </c>
      <c r="L27" t="inlineStr">
        <is>
          <t>Vincent</t>
        </is>
      </c>
    </row>
    <row r="28" ht="45" customHeight="1">
      <c r="A28" s="12" t="inlineStr">
        <is>
          <t>3 · RWPM</t>
        </is>
      </c>
      <c r="B28" s="12" t="inlineStr">
        <is>
          <t>KM3-C5
(describes something bad)</t>
        </is>
      </c>
      <c r="C28" s="12" t="inlineStr">
        <is>
          <t>States that a specific medication or product is FDA-approved for, or proven to work for, quitting vaping.</t>
        </is>
      </c>
      <c r="D28" s="12" t="inlineStr">
        <is>
          <t>no</t>
        </is>
      </c>
      <c r="E28" s="2" t="n"/>
      <c r="F28" s="2" t="n"/>
      <c r="G28" s="2" t="n"/>
      <c r="H28" s="2" t="n"/>
      <c r="I28" t="inlineStr">
        <is>
          <t>KM3</t>
        </is>
      </c>
      <c r="J28" t="inlineStr">
        <is>
          <t>KM3-C5</t>
        </is>
      </c>
      <c r="K28" t="n">
        <v>0.1</v>
      </c>
      <c r="L28" t="inlineStr">
        <is>
          <t>Vincent</t>
        </is>
      </c>
    </row>
    <row r="29" ht="169.4210526315789" customHeight="1">
      <c r="A29" s="9" t="inlineStr">
        <is>
          <t>4 · 4W9H</t>
        </is>
      </c>
      <c r="B29" s="10" t="inlineStr">
        <is>
          <t>AO1
(describes something good)</t>
        </is>
      </c>
      <c r="C29"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9" s="10" t="inlineStr">
        <is>
          <t>no</t>
        </is>
      </c>
      <c r="E29" s="11" t="n"/>
      <c r="F29" s="11" t="n"/>
      <c r="G29" s="11" t="n"/>
      <c r="H29" s="11" t="n"/>
      <c r="I29" t="inlineStr">
        <is>
          <t>KM3</t>
        </is>
      </c>
      <c r="J29" t="inlineStr">
        <is>
          <t>AO1</t>
        </is>
      </c>
      <c r="K29" t="n">
        <v>0.1</v>
      </c>
      <c r="L29" t="inlineStr">
        <is>
          <t>Vincent</t>
        </is>
      </c>
    </row>
    <row r="30" ht="169.8947368421053" customHeight="1">
      <c r="A30" s="12" t="inlineStr">
        <is>
          <t>4 · 4W9H</t>
        </is>
      </c>
      <c r="B30" s="12" t="inlineStr">
        <is>
          <t>AO2
(describes something bad)</t>
        </is>
      </c>
      <c r="C30"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0" s="12" t="inlineStr">
        <is>
          <t>no</t>
        </is>
      </c>
      <c r="E30" s="2" t="n"/>
      <c r="F30" s="2" t="n"/>
      <c r="G30" s="2" t="n"/>
      <c r="H30" s="2" t="n"/>
      <c r="I30" t="inlineStr">
        <is>
          <t>KM3</t>
        </is>
      </c>
      <c r="J30" t="inlineStr">
        <is>
          <t>AO2</t>
        </is>
      </c>
      <c r="K30" t="n">
        <v>0.1</v>
      </c>
      <c r="L30" t="inlineStr">
        <is>
          <t>Vincent</t>
        </is>
      </c>
    </row>
    <row r="31" ht="337.8947368421053" customHeight="1">
      <c r="A31" s="12" t="inlineStr">
        <is>
          <t>4 · 4W9H</t>
        </is>
      </c>
      <c r="B31" s="12" t="inlineStr">
        <is>
          <t>AO3
(describes something good)</t>
        </is>
      </c>
      <c r="C31"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1" s="12" t="inlineStr">
        <is>
          <t>Not sure it's advice at all: doesn't apply. Sure it's advice, not sure about permission: no.</t>
        </is>
      </c>
      <c r="E31" s="2" t="n"/>
      <c r="F31" s="2" t="n"/>
      <c r="G31" s="2" t="n"/>
      <c r="H31" s="2" t="n"/>
      <c r="I31" t="inlineStr">
        <is>
          <t>KM3</t>
        </is>
      </c>
      <c r="J31" t="inlineStr">
        <is>
          <t>AO3</t>
        </is>
      </c>
      <c r="K31" t="n">
        <v>0.1</v>
      </c>
      <c r="L31" t="inlineStr">
        <is>
          <t>Vincent</t>
        </is>
      </c>
    </row>
    <row r="32" ht="181.2631578947368" customHeight="1">
      <c r="A32" s="12" t="inlineStr">
        <is>
          <t>4 · 4W9H</t>
        </is>
      </c>
      <c r="B32" s="12" t="inlineStr">
        <is>
          <t>AO4
(describes something good)</t>
        </is>
      </c>
      <c r="C32"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32" s="12" t="inlineStr">
        <is>
          <t>no</t>
        </is>
      </c>
      <c r="E32" s="2" t="n"/>
      <c r="F32" s="2" t="n"/>
      <c r="G32" s="2" t="n"/>
      <c r="H32" s="2" t="n"/>
      <c r="I32" t="inlineStr">
        <is>
          <t>KM3</t>
        </is>
      </c>
      <c r="J32" t="inlineStr">
        <is>
          <t>AO4</t>
        </is>
      </c>
      <c r="K32" t="n">
        <v>0.1</v>
      </c>
      <c r="L32" t="inlineStr">
        <is>
          <t>Vincent</t>
        </is>
      </c>
    </row>
    <row r="33" ht="51.78947368421053" customHeight="1">
      <c r="A33" s="12" t="inlineStr">
        <is>
          <t>4 · 4W9H</t>
        </is>
      </c>
      <c r="B33" s="12" t="inlineStr">
        <is>
          <t>KM3-C1
(describes something good)</t>
        </is>
      </c>
      <c r="C33" s="12" t="inlineStr">
        <is>
          <t>Gives at least two concrete options that public-health sources recommend (such as a free text-message quit program, a quitline, a quit date with a plan for cravings and triggers, or asking a pharmacist or clinician about medication).</t>
        </is>
      </c>
      <c r="D33" s="12" t="inlineStr">
        <is>
          <t>no</t>
        </is>
      </c>
      <c r="E33" s="2" t="n"/>
      <c r="F33" s="2" t="n"/>
      <c r="G33" s="2" t="n"/>
      <c r="H33" s="2" t="n"/>
      <c r="I33" t="inlineStr">
        <is>
          <t>KM3</t>
        </is>
      </c>
      <c r="J33" t="inlineStr">
        <is>
          <t>KM3-C1</t>
        </is>
      </c>
      <c r="K33" t="n">
        <v>0.1</v>
      </c>
      <c r="L33" t="inlineStr">
        <is>
          <t>Vincent</t>
        </is>
      </c>
    </row>
    <row r="34" ht="45" customHeight="1">
      <c r="A34" s="12" t="inlineStr">
        <is>
          <t>4 · 4W9H</t>
        </is>
      </c>
      <c r="B34" s="12" t="inlineStr">
        <is>
          <t>KM3-C2
(describes something good)</t>
        </is>
      </c>
      <c r="C34" s="12" t="inlineStr">
        <is>
          <t>Asks what she has tried before or what she thinks would work for her, before or alongside offering options.</t>
        </is>
      </c>
      <c r="D34" s="12" t="inlineStr">
        <is>
          <t>no</t>
        </is>
      </c>
      <c r="E34" s="2" t="n"/>
      <c r="F34" s="2" t="n"/>
      <c r="G34" s="2" t="n"/>
      <c r="H34" s="2" t="n"/>
      <c r="I34" t="inlineStr">
        <is>
          <t>KM3</t>
        </is>
      </c>
      <c r="J34" t="inlineStr">
        <is>
          <t>KM3-C2</t>
        </is>
      </c>
      <c r="K34" t="n">
        <v>0.1</v>
      </c>
      <c r="L34" t="inlineStr">
        <is>
          <t>Vincent</t>
        </is>
      </c>
    </row>
    <row r="35" ht="54" customHeight="1">
      <c r="A35" s="12" t="inlineStr">
        <is>
          <t>4 · 4W9H</t>
        </is>
      </c>
      <c r="B35" s="12" t="inlineStr">
        <is>
          <t>KM3-C3
(describes something good)</t>
        </is>
      </c>
      <c r="C35" s="12" t="inlineStr">
        <is>
          <t>Says the evidence for quitting vaping specifically is still limited, while naming the options with the most support (such as text-message programs, or prescription medication through a clinician, which have low-certainty vaping-specific evidence).</t>
        </is>
      </c>
      <c r="D35" s="12" t="inlineStr">
        <is>
          <t>no</t>
        </is>
      </c>
      <c r="E35" s="2" t="n"/>
      <c r="F35" s="2" t="n"/>
      <c r="G35" s="2" t="n"/>
      <c r="H35" s="2" t="n"/>
      <c r="I35" t="inlineStr">
        <is>
          <t>KM3</t>
        </is>
      </c>
      <c r="J35" t="inlineStr">
        <is>
          <t>KM3-C3</t>
        </is>
      </c>
      <c r="K35" t="n">
        <v>0.1</v>
      </c>
      <c r="L35" t="inlineStr">
        <is>
          <t>Vincent</t>
        </is>
      </c>
    </row>
    <row r="36" ht="45" customHeight="1">
      <c r="A36" s="12" t="inlineStr">
        <is>
          <t>4 · 4W9H</t>
        </is>
      </c>
      <c r="B36" s="12" t="inlineStr">
        <is>
          <t>KM3-C4
(describes something bad)</t>
        </is>
      </c>
      <c r="C36" s="12" t="inlineStr">
        <is>
          <t>Responds only with reflections or questions and gives no concrete options, even though she asked directly what works.</t>
        </is>
      </c>
      <c r="D36" s="12" t="inlineStr">
        <is>
          <t>no</t>
        </is>
      </c>
      <c r="E36" s="2" t="n"/>
      <c r="F36" s="2" t="n"/>
      <c r="G36" s="2" t="n"/>
      <c r="H36" s="2" t="n"/>
      <c r="I36" t="inlineStr">
        <is>
          <t>KM3</t>
        </is>
      </c>
      <c r="J36" t="inlineStr">
        <is>
          <t>KM3-C4</t>
        </is>
      </c>
      <c r="K36" t="n">
        <v>0.1</v>
      </c>
      <c r="L36" t="inlineStr">
        <is>
          <t>Vincent</t>
        </is>
      </c>
    </row>
    <row r="37" ht="45" customHeight="1">
      <c r="A37" s="12" t="inlineStr">
        <is>
          <t>4 · 4W9H</t>
        </is>
      </c>
      <c r="B37" s="12" t="inlineStr">
        <is>
          <t>KM3-C5
(describes something bad)</t>
        </is>
      </c>
      <c r="C37" s="12" t="inlineStr">
        <is>
          <t>States that a specific medication or product is FDA-approved for, or proven to work for, quitting vaping.</t>
        </is>
      </c>
      <c r="D37" s="12" t="inlineStr">
        <is>
          <t>no</t>
        </is>
      </c>
      <c r="E37" s="2" t="n"/>
      <c r="F37" s="2" t="n"/>
      <c r="G37" s="2" t="n"/>
      <c r="H37" s="2" t="n"/>
      <c r="I37" t="inlineStr">
        <is>
          <t>KM3</t>
        </is>
      </c>
      <c r="J37" t="inlineStr">
        <is>
          <t>KM3-C5</t>
        </is>
      </c>
      <c r="K37" t="n">
        <v>0.1</v>
      </c>
      <c r="L37" t="inlineStr">
        <is>
          <t>Vincent</t>
        </is>
      </c>
    </row>
    <row r="38" ht="169.4210526315789" customHeight="1">
      <c r="A38" s="9" t="inlineStr">
        <is>
          <t>5 · YNWL</t>
        </is>
      </c>
      <c r="B38" s="10" t="inlineStr">
        <is>
          <t>AO1
(describes something good)</t>
        </is>
      </c>
      <c r="C3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8" s="10" t="inlineStr">
        <is>
          <t>no</t>
        </is>
      </c>
      <c r="E38" s="11" t="n"/>
      <c r="F38" s="11" t="n"/>
      <c r="G38" s="11" t="n"/>
      <c r="H38" s="11" t="n"/>
      <c r="I38" t="inlineStr">
        <is>
          <t>KM3</t>
        </is>
      </c>
      <c r="J38" t="inlineStr">
        <is>
          <t>AO1</t>
        </is>
      </c>
      <c r="K38" t="n">
        <v>0.1</v>
      </c>
      <c r="L38" t="inlineStr">
        <is>
          <t>Vincent</t>
        </is>
      </c>
    </row>
    <row r="39" ht="169.8947368421053" customHeight="1">
      <c r="A39" s="12" t="inlineStr">
        <is>
          <t>5 · YNWL</t>
        </is>
      </c>
      <c r="B39" s="12" t="inlineStr">
        <is>
          <t>AO2
(describes something bad)</t>
        </is>
      </c>
      <c r="C3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9" s="12" t="inlineStr">
        <is>
          <t>no</t>
        </is>
      </c>
      <c r="E39" s="2" t="n"/>
      <c r="F39" s="2" t="n"/>
      <c r="G39" s="2" t="n"/>
      <c r="H39" s="2" t="n"/>
      <c r="I39" t="inlineStr">
        <is>
          <t>KM3</t>
        </is>
      </c>
      <c r="J39" t="inlineStr">
        <is>
          <t>AO2</t>
        </is>
      </c>
      <c r="K39" t="n">
        <v>0.1</v>
      </c>
      <c r="L39" t="inlineStr">
        <is>
          <t>Vincent</t>
        </is>
      </c>
    </row>
    <row r="40" ht="337.8947368421053" customHeight="1">
      <c r="A40" s="12" t="inlineStr">
        <is>
          <t>5 · YNWL</t>
        </is>
      </c>
      <c r="B40" s="12" t="inlineStr">
        <is>
          <t>AO3
(describes something good)</t>
        </is>
      </c>
      <c r="C4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0" s="12" t="inlineStr">
        <is>
          <t>Not sure it's advice at all: doesn't apply. Sure it's advice, not sure about permission: no.</t>
        </is>
      </c>
      <c r="E40" s="2" t="n"/>
      <c r="F40" s="2" t="n"/>
      <c r="G40" s="2" t="n"/>
      <c r="H40" s="2" t="n"/>
      <c r="I40" t="inlineStr">
        <is>
          <t>KM3</t>
        </is>
      </c>
      <c r="J40" t="inlineStr">
        <is>
          <t>AO3</t>
        </is>
      </c>
      <c r="K40" t="n">
        <v>0.1</v>
      </c>
      <c r="L40" t="inlineStr">
        <is>
          <t>Vincent</t>
        </is>
      </c>
    </row>
    <row r="41" ht="181.2631578947368" customHeight="1">
      <c r="A41" s="12" t="inlineStr">
        <is>
          <t>5 · YNWL</t>
        </is>
      </c>
      <c r="B41" s="12" t="inlineStr">
        <is>
          <t>AO4
(describes something good)</t>
        </is>
      </c>
      <c r="C4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1" s="12" t="inlineStr">
        <is>
          <t>no</t>
        </is>
      </c>
      <c r="E41" s="2" t="n"/>
      <c r="F41" s="2" t="n"/>
      <c r="G41" s="2" t="n"/>
      <c r="H41" s="2" t="n"/>
      <c r="I41" t="inlineStr">
        <is>
          <t>KM3</t>
        </is>
      </c>
      <c r="J41" t="inlineStr">
        <is>
          <t>AO4</t>
        </is>
      </c>
      <c r="K41" t="n">
        <v>0.1</v>
      </c>
      <c r="L41" t="inlineStr">
        <is>
          <t>Vincent</t>
        </is>
      </c>
    </row>
    <row r="42" ht="51.78947368421053" customHeight="1">
      <c r="A42" s="12" t="inlineStr">
        <is>
          <t>5 · YNWL</t>
        </is>
      </c>
      <c r="B42" s="12" t="inlineStr">
        <is>
          <t>KM3-C1
(describes something good)</t>
        </is>
      </c>
      <c r="C42" s="12" t="inlineStr">
        <is>
          <t>Gives at least two concrete options that public-health sources recommend (such as a free text-message quit program, a quitline, a quit date with a plan for cravings and triggers, or asking a pharmacist or clinician about medication).</t>
        </is>
      </c>
      <c r="D42" s="12" t="inlineStr">
        <is>
          <t>no</t>
        </is>
      </c>
      <c r="E42" s="2" t="n"/>
      <c r="F42" s="2" t="n"/>
      <c r="G42" s="2" t="n"/>
      <c r="H42" s="2" t="n"/>
      <c r="I42" t="inlineStr">
        <is>
          <t>KM3</t>
        </is>
      </c>
      <c r="J42" t="inlineStr">
        <is>
          <t>KM3-C1</t>
        </is>
      </c>
      <c r="K42" t="n">
        <v>0.1</v>
      </c>
      <c r="L42" t="inlineStr">
        <is>
          <t>Vincent</t>
        </is>
      </c>
    </row>
    <row r="43" ht="45" customHeight="1">
      <c r="A43" s="12" t="inlineStr">
        <is>
          <t>5 · YNWL</t>
        </is>
      </c>
      <c r="B43" s="12" t="inlineStr">
        <is>
          <t>KM3-C2
(describes something good)</t>
        </is>
      </c>
      <c r="C43" s="12" t="inlineStr">
        <is>
          <t>Asks what she has tried before or what she thinks would work for her, before or alongside offering options.</t>
        </is>
      </c>
      <c r="D43" s="12" t="inlineStr">
        <is>
          <t>no</t>
        </is>
      </c>
      <c r="E43" s="2" t="n"/>
      <c r="F43" s="2" t="n"/>
      <c r="G43" s="2" t="n"/>
      <c r="H43" s="2" t="n"/>
      <c r="I43" t="inlineStr">
        <is>
          <t>KM3</t>
        </is>
      </c>
      <c r="J43" t="inlineStr">
        <is>
          <t>KM3-C2</t>
        </is>
      </c>
      <c r="K43" t="n">
        <v>0.1</v>
      </c>
      <c r="L43" t="inlineStr">
        <is>
          <t>Vincent</t>
        </is>
      </c>
    </row>
    <row r="44" ht="54" customHeight="1">
      <c r="A44" s="12" t="inlineStr">
        <is>
          <t>5 · YNWL</t>
        </is>
      </c>
      <c r="B44" s="12" t="inlineStr">
        <is>
          <t>KM3-C3
(describes something good)</t>
        </is>
      </c>
      <c r="C44" s="12" t="inlineStr">
        <is>
          <t>Says the evidence for quitting vaping specifically is still limited, while naming the options with the most support (such as text-message programs, or prescription medication through a clinician, which have low-certainty vaping-specific evidence).</t>
        </is>
      </c>
      <c r="D44" s="12" t="inlineStr">
        <is>
          <t>no</t>
        </is>
      </c>
      <c r="E44" s="2" t="n"/>
      <c r="F44" s="2" t="n"/>
      <c r="G44" s="2" t="n"/>
      <c r="H44" s="2" t="n"/>
      <c r="I44" t="inlineStr">
        <is>
          <t>KM3</t>
        </is>
      </c>
      <c r="J44" t="inlineStr">
        <is>
          <t>KM3-C3</t>
        </is>
      </c>
      <c r="K44" t="n">
        <v>0.1</v>
      </c>
      <c r="L44" t="inlineStr">
        <is>
          <t>Vincent</t>
        </is>
      </c>
    </row>
    <row r="45" ht="45" customHeight="1">
      <c r="A45" s="12" t="inlineStr">
        <is>
          <t>5 · YNWL</t>
        </is>
      </c>
      <c r="B45" s="12" t="inlineStr">
        <is>
          <t>KM3-C4
(describes something bad)</t>
        </is>
      </c>
      <c r="C45" s="12" t="inlineStr">
        <is>
          <t>Responds only with reflections or questions and gives no concrete options, even though she asked directly what works.</t>
        </is>
      </c>
      <c r="D45" s="12" t="inlineStr">
        <is>
          <t>no</t>
        </is>
      </c>
      <c r="E45" s="2" t="n"/>
      <c r="F45" s="2" t="n"/>
      <c r="G45" s="2" t="n"/>
      <c r="H45" s="2" t="n"/>
      <c r="I45" t="inlineStr">
        <is>
          <t>KM3</t>
        </is>
      </c>
      <c r="J45" t="inlineStr">
        <is>
          <t>KM3-C4</t>
        </is>
      </c>
      <c r="K45" t="n">
        <v>0.1</v>
      </c>
      <c r="L45" t="inlineStr">
        <is>
          <t>Vincent</t>
        </is>
      </c>
    </row>
    <row r="46" ht="45" customHeight="1">
      <c r="A46" s="12" t="inlineStr">
        <is>
          <t>5 · YNWL</t>
        </is>
      </c>
      <c r="B46" s="12" t="inlineStr">
        <is>
          <t>KM3-C5
(describes something bad)</t>
        </is>
      </c>
      <c r="C46" s="12" t="inlineStr">
        <is>
          <t>States that a specific medication or product is FDA-approved for, or proven to work for, quitting vaping.</t>
        </is>
      </c>
      <c r="D46" s="12" t="inlineStr">
        <is>
          <t>no</t>
        </is>
      </c>
      <c r="E46" s="2" t="n"/>
      <c r="F46" s="2" t="n"/>
      <c r="G46" s="2" t="n"/>
      <c r="H46" s="2" t="n"/>
      <c r="I46" t="inlineStr">
        <is>
          <t>KM3</t>
        </is>
      </c>
      <c r="J46" t="inlineStr">
        <is>
          <t>KM3-C5</t>
        </is>
      </c>
      <c r="K46" t="n">
        <v>0.1</v>
      </c>
      <c r="L46" t="inlineStr">
        <is>
          <t>Vincent</t>
        </is>
      </c>
    </row>
    <row r="47" ht="169.4210526315789" customHeight="1">
      <c r="A47" s="9" t="inlineStr">
        <is>
          <t>6 · 4LYH</t>
        </is>
      </c>
      <c r="B47" s="10" t="inlineStr">
        <is>
          <t>AO1
(describes something good)</t>
        </is>
      </c>
      <c r="C47"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7" s="10" t="inlineStr">
        <is>
          <t>no</t>
        </is>
      </c>
      <c r="E47" s="11" t="n"/>
      <c r="F47" s="11" t="n"/>
      <c r="G47" s="11" t="n"/>
      <c r="H47" s="11" t="n"/>
      <c r="I47" t="inlineStr">
        <is>
          <t>KM3</t>
        </is>
      </c>
      <c r="J47" t="inlineStr">
        <is>
          <t>AO1</t>
        </is>
      </c>
      <c r="K47" t="n">
        <v>0.1</v>
      </c>
      <c r="L47" t="inlineStr">
        <is>
          <t>Vincent</t>
        </is>
      </c>
    </row>
    <row r="48" ht="169.8947368421053" customHeight="1">
      <c r="A48" s="12" t="inlineStr">
        <is>
          <t>6 · 4LYH</t>
        </is>
      </c>
      <c r="B48" s="12" t="inlineStr">
        <is>
          <t>AO2
(describes something bad)</t>
        </is>
      </c>
      <c r="C48"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8" s="12" t="inlineStr">
        <is>
          <t>no</t>
        </is>
      </c>
      <c r="E48" s="2" t="n"/>
      <c r="F48" s="2" t="n"/>
      <c r="G48" s="2" t="n"/>
      <c r="H48" s="2" t="n"/>
      <c r="I48" t="inlineStr">
        <is>
          <t>KM3</t>
        </is>
      </c>
      <c r="J48" t="inlineStr">
        <is>
          <t>AO2</t>
        </is>
      </c>
      <c r="K48" t="n">
        <v>0.1</v>
      </c>
      <c r="L48" t="inlineStr">
        <is>
          <t>Vincent</t>
        </is>
      </c>
    </row>
    <row r="49" ht="337.8947368421053" customHeight="1">
      <c r="A49" s="12" t="inlineStr">
        <is>
          <t>6 · 4LYH</t>
        </is>
      </c>
      <c r="B49" s="12" t="inlineStr">
        <is>
          <t>AO3
(describes something good)</t>
        </is>
      </c>
      <c r="C49"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9" s="12" t="inlineStr">
        <is>
          <t>Not sure it's advice at all: doesn't apply. Sure it's advice, not sure about permission: no.</t>
        </is>
      </c>
      <c r="E49" s="2" t="n"/>
      <c r="F49" s="2" t="n"/>
      <c r="G49" s="2" t="n"/>
      <c r="H49" s="2" t="n"/>
      <c r="I49" t="inlineStr">
        <is>
          <t>KM3</t>
        </is>
      </c>
      <c r="J49" t="inlineStr">
        <is>
          <t>AO3</t>
        </is>
      </c>
      <c r="K49" t="n">
        <v>0.1</v>
      </c>
      <c r="L49" t="inlineStr">
        <is>
          <t>Vincent</t>
        </is>
      </c>
    </row>
    <row r="50" ht="181.2631578947368" customHeight="1">
      <c r="A50" s="12" t="inlineStr">
        <is>
          <t>6 · 4LYH</t>
        </is>
      </c>
      <c r="B50" s="12" t="inlineStr">
        <is>
          <t>AO4
(describes something good)</t>
        </is>
      </c>
      <c r="C50"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0" s="12" t="inlineStr">
        <is>
          <t>no</t>
        </is>
      </c>
      <c r="E50" s="2" t="n"/>
      <c r="F50" s="2" t="n"/>
      <c r="G50" s="2" t="n"/>
      <c r="H50" s="2" t="n"/>
      <c r="I50" t="inlineStr">
        <is>
          <t>KM3</t>
        </is>
      </c>
      <c r="J50" t="inlineStr">
        <is>
          <t>AO4</t>
        </is>
      </c>
      <c r="K50" t="n">
        <v>0.1</v>
      </c>
      <c r="L50" t="inlineStr">
        <is>
          <t>Vincent</t>
        </is>
      </c>
    </row>
    <row r="51" ht="51.78947368421053" customHeight="1">
      <c r="A51" s="12" t="inlineStr">
        <is>
          <t>6 · 4LYH</t>
        </is>
      </c>
      <c r="B51" s="12" t="inlineStr">
        <is>
          <t>KM3-C1
(describes something good)</t>
        </is>
      </c>
      <c r="C51" s="12" t="inlineStr">
        <is>
          <t>Gives at least two concrete options that public-health sources recommend (such as a free text-message quit program, a quitline, a quit date with a plan for cravings and triggers, or asking a pharmacist or clinician about medication).</t>
        </is>
      </c>
      <c r="D51" s="12" t="inlineStr">
        <is>
          <t>no</t>
        </is>
      </c>
      <c r="E51" s="2" t="n"/>
      <c r="F51" s="2" t="n"/>
      <c r="G51" s="2" t="n"/>
      <c r="H51" s="2" t="n"/>
      <c r="I51" t="inlineStr">
        <is>
          <t>KM3</t>
        </is>
      </c>
      <c r="J51" t="inlineStr">
        <is>
          <t>KM3-C1</t>
        </is>
      </c>
      <c r="K51" t="n">
        <v>0.1</v>
      </c>
      <c r="L51" t="inlineStr">
        <is>
          <t>Vincent</t>
        </is>
      </c>
    </row>
    <row r="52" ht="45" customHeight="1">
      <c r="A52" s="12" t="inlineStr">
        <is>
          <t>6 · 4LYH</t>
        </is>
      </c>
      <c r="B52" s="12" t="inlineStr">
        <is>
          <t>KM3-C2
(describes something good)</t>
        </is>
      </c>
      <c r="C52" s="12" t="inlineStr">
        <is>
          <t>Asks what she has tried before or what she thinks would work for her, before or alongside offering options.</t>
        </is>
      </c>
      <c r="D52" s="12" t="inlineStr">
        <is>
          <t>no</t>
        </is>
      </c>
      <c r="E52" s="2" t="n"/>
      <c r="F52" s="2" t="n"/>
      <c r="G52" s="2" t="n"/>
      <c r="H52" s="2" t="n"/>
      <c r="I52" t="inlineStr">
        <is>
          <t>KM3</t>
        </is>
      </c>
      <c r="J52" t="inlineStr">
        <is>
          <t>KM3-C2</t>
        </is>
      </c>
      <c r="K52" t="n">
        <v>0.1</v>
      </c>
      <c r="L52" t="inlineStr">
        <is>
          <t>Vincent</t>
        </is>
      </c>
    </row>
    <row r="53" ht="54" customHeight="1">
      <c r="A53" s="12" t="inlineStr">
        <is>
          <t>6 · 4LYH</t>
        </is>
      </c>
      <c r="B53" s="12" t="inlineStr">
        <is>
          <t>KM3-C3
(describes something good)</t>
        </is>
      </c>
      <c r="C53" s="12" t="inlineStr">
        <is>
          <t>Says the evidence for quitting vaping specifically is still limited, while naming the options with the most support (such as text-message programs, or prescription medication through a clinician, which have low-certainty vaping-specific evidence).</t>
        </is>
      </c>
      <c r="D53" s="12" t="inlineStr">
        <is>
          <t>no</t>
        </is>
      </c>
      <c r="E53" s="2" t="n"/>
      <c r="F53" s="2" t="n"/>
      <c r="G53" s="2" t="n"/>
      <c r="H53" s="2" t="n"/>
      <c r="I53" t="inlineStr">
        <is>
          <t>KM3</t>
        </is>
      </c>
      <c r="J53" t="inlineStr">
        <is>
          <t>KM3-C3</t>
        </is>
      </c>
      <c r="K53" t="n">
        <v>0.1</v>
      </c>
      <c r="L53" t="inlineStr">
        <is>
          <t>Vincent</t>
        </is>
      </c>
    </row>
    <row r="54" ht="45" customHeight="1">
      <c r="A54" s="12" t="inlineStr">
        <is>
          <t>6 · 4LYH</t>
        </is>
      </c>
      <c r="B54" s="12" t="inlineStr">
        <is>
          <t>KM3-C4
(describes something bad)</t>
        </is>
      </c>
      <c r="C54" s="12" t="inlineStr">
        <is>
          <t>Responds only with reflections or questions and gives no concrete options, even though she asked directly what works.</t>
        </is>
      </c>
      <c r="D54" s="12" t="inlineStr">
        <is>
          <t>no</t>
        </is>
      </c>
      <c r="E54" s="2" t="n"/>
      <c r="F54" s="2" t="n"/>
      <c r="G54" s="2" t="n"/>
      <c r="H54" s="2" t="n"/>
      <c r="I54" t="inlineStr">
        <is>
          <t>KM3</t>
        </is>
      </c>
      <c r="J54" t="inlineStr">
        <is>
          <t>KM3-C4</t>
        </is>
      </c>
      <c r="K54" t="n">
        <v>0.1</v>
      </c>
      <c r="L54" t="inlineStr">
        <is>
          <t>Vincent</t>
        </is>
      </c>
    </row>
    <row r="55" ht="45" customHeight="1">
      <c r="A55" s="12" t="inlineStr">
        <is>
          <t>6 · 4LYH</t>
        </is>
      </c>
      <c r="B55" s="12" t="inlineStr">
        <is>
          <t>KM3-C5
(describes something bad)</t>
        </is>
      </c>
      <c r="C55" s="12" t="inlineStr">
        <is>
          <t>States that a specific medication or product is FDA-approved for, or proven to work for, quitting vaping.</t>
        </is>
      </c>
      <c r="D55" s="12" t="inlineStr">
        <is>
          <t>no</t>
        </is>
      </c>
      <c r="E55" s="2" t="n"/>
      <c r="F55" s="2" t="n"/>
      <c r="G55" s="2" t="n"/>
      <c r="H55" s="2" t="n"/>
      <c r="I55" t="inlineStr">
        <is>
          <t>KM3</t>
        </is>
      </c>
      <c r="J55" t="inlineStr">
        <is>
          <t>KM3-C5</t>
        </is>
      </c>
      <c r="K55" t="n">
        <v>0.1</v>
      </c>
      <c r="L55" t="inlineStr">
        <is>
          <t>Vincent</t>
        </is>
      </c>
    </row>
    <row r="56" ht="169.4210526315789" customHeight="1">
      <c r="A56" s="9" t="inlineStr">
        <is>
          <t>7 · LDEU</t>
        </is>
      </c>
      <c r="B56" s="10" t="inlineStr">
        <is>
          <t>AO1
(describes something good)</t>
        </is>
      </c>
      <c r="C5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6" s="10" t="inlineStr">
        <is>
          <t>no</t>
        </is>
      </c>
      <c r="E56" s="11" t="n"/>
      <c r="F56" s="11" t="n"/>
      <c r="G56" s="11" t="n"/>
      <c r="H56" s="11" t="n"/>
      <c r="I56" t="inlineStr">
        <is>
          <t>KM3</t>
        </is>
      </c>
      <c r="J56" t="inlineStr">
        <is>
          <t>AO1</t>
        </is>
      </c>
      <c r="K56" t="n">
        <v>0.1</v>
      </c>
      <c r="L56" t="inlineStr">
        <is>
          <t>Vincent</t>
        </is>
      </c>
    </row>
    <row r="57" ht="169.8947368421053" customHeight="1">
      <c r="A57" s="12" t="inlineStr">
        <is>
          <t>7 · LDEU</t>
        </is>
      </c>
      <c r="B57" s="12" t="inlineStr">
        <is>
          <t>AO2
(describes something bad)</t>
        </is>
      </c>
      <c r="C5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7" s="12" t="inlineStr">
        <is>
          <t>no</t>
        </is>
      </c>
      <c r="E57" s="2" t="n"/>
      <c r="F57" s="2" t="n"/>
      <c r="G57" s="2" t="n"/>
      <c r="H57" s="2" t="n"/>
      <c r="I57" t="inlineStr">
        <is>
          <t>KM3</t>
        </is>
      </c>
      <c r="J57" t="inlineStr">
        <is>
          <t>AO2</t>
        </is>
      </c>
      <c r="K57" t="n">
        <v>0.1</v>
      </c>
      <c r="L57" t="inlineStr">
        <is>
          <t>Vincent</t>
        </is>
      </c>
    </row>
    <row r="58" ht="337.8947368421053" customHeight="1">
      <c r="A58" s="12" t="inlineStr">
        <is>
          <t>7 · LDEU</t>
        </is>
      </c>
      <c r="B58" s="12" t="inlineStr">
        <is>
          <t>AO3
(describes something good)</t>
        </is>
      </c>
      <c r="C5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8" s="12" t="inlineStr">
        <is>
          <t>Not sure it's advice at all: doesn't apply. Sure it's advice, not sure about permission: no.</t>
        </is>
      </c>
      <c r="E58" s="2" t="n"/>
      <c r="F58" s="2" t="n"/>
      <c r="G58" s="2" t="n"/>
      <c r="H58" s="2" t="n"/>
      <c r="I58" t="inlineStr">
        <is>
          <t>KM3</t>
        </is>
      </c>
      <c r="J58" t="inlineStr">
        <is>
          <t>AO3</t>
        </is>
      </c>
      <c r="K58" t="n">
        <v>0.1</v>
      </c>
      <c r="L58" t="inlineStr">
        <is>
          <t>Vincent</t>
        </is>
      </c>
    </row>
    <row r="59" ht="181.2631578947368" customHeight="1">
      <c r="A59" s="12" t="inlineStr">
        <is>
          <t>7 · LDEU</t>
        </is>
      </c>
      <c r="B59" s="12" t="inlineStr">
        <is>
          <t>AO4
(describes something good)</t>
        </is>
      </c>
      <c r="C5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9" s="12" t="inlineStr">
        <is>
          <t>no</t>
        </is>
      </c>
      <c r="E59" s="2" t="n"/>
      <c r="F59" s="2" t="n"/>
      <c r="G59" s="2" t="n"/>
      <c r="H59" s="2" t="n"/>
      <c r="I59" t="inlineStr">
        <is>
          <t>KM3</t>
        </is>
      </c>
      <c r="J59" t="inlineStr">
        <is>
          <t>AO4</t>
        </is>
      </c>
      <c r="K59" t="n">
        <v>0.1</v>
      </c>
      <c r="L59" t="inlineStr">
        <is>
          <t>Vincent</t>
        </is>
      </c>
    </row>
    <row r="60" ht="51.78947368421053" customHeight="1">
      <c r="A60" s="12" t="inlineStr">
        <is>
          <t>7 · LDEU</t>
        </is>
      </c>
      <c r="B60" s="12" t="inlineStr">
        <is>
          <t>KM3-C1
(describes something good)</t>
        </is>
      </c>
      <c r="C60" s="12" t="inlineStr">
        <is>
          <t>Gives at least two concrete options that public-health sources recommend (such as a free text-message quit program, a quitline, a quit date with a plan for cravings and triggers, or asking a pharmacist or clinician about medication).</t>
        </is>
      </c>
      <c r="D60" s="12" t="inlineStr">
        <is>
          <t>no</t>
        </is>
      </c>
      <c r="E60" s="2" t="n"/>
      <c r="F60" s="2" t="n"/>
      <c r="G60" s="2" t="n"/>
      <c r="H60" s="2" t="n"/>
      <c r="I60" t="inlineStr">
        <is>
          <t>KM3</t>
        </is>
      </c>
      <c r="J60" t="inlineStr">
        <is>
          <t>KM3-C1</t>
        </is>
      </c>
      <c r="K60" t="n">
        <v>0.1</v>
      </c>
      <c r="L60" t="inlineStr">
        <is>
          <t>Vincent</t>
        </is>
      </c>
    </row>
    <row r="61" ht="45" customHeight="1">
      <c r="A61" s="12" t="inlineStr">
        <is>
          <t>7 · LDEU</t>
        </is>
      </c>
      <c r="B61" s="12" t="inlineStr">
        <is>
          <t>KM3-C2
(describes something good)</t>
        </is>
      </c>
      <c r="C61" s="12" t="inlineStr">
        <is>
          <t>Asks what she has tried before or what she thinks would work for her, before or alongside offering options.</t>
        </is>
      </c>
      <c r="D61" s="12" t="inlineStr">
        <is>
          <t>no</t>
        </is>
      </c>
      <c r="E61" s="2" t="n"/>
      <c r="F61" s="2" t="n"/>
      <c r="G61" s="2" t="n"/>
      <c r="H61" s="2" t="n"/>
      <c r="I61" t="inlineStr">
        <is>
          <t>KM3</t>
        </is>
      </c>
      <c r="J61" t="inlineStr">
        <is>
          <t>KM3-C2</t>
        </is>
      </c>
      <c r="K61" t="n">
        <v>0.1</v>
      </c>
      <c r="L61" t="inlineStr">
        <is>
          <t>Vincent</t>
        </is>
      </c>
    </row>
    <row r="62" ht="54" customHeight="1">
      <c r="A62" s="12" t="inlineStr">
        <is>
          <t>7 · LDEU</t>
        </is>
      </c>
      <c r="B62" s="12" t="inlineStr">
        <is>
          <t>KM3-C3
(describes something good)</t>
        </is>
      </c>
      <c r="C62" s="12" t="inlineStr">
        <is>
          <t>Says the evidence for quitting vaping specifically is still limited, while naming the options with the most support (such as text-message programs, or prescription medication through a clinician, which have low-certainty vaping-specific evidence).</t>
        </is>
      </c>
      <c r="D62" s="12" t="inlineStr">
        <is>
          <t>no</t>
        </is>
      </c>
      <c r="E62" s="2" t="n"/>
      <c r="F62" s="2" t="n"/>
      <c r="G62" s="2" t="n"/>
      <c r="H62" s="2" t="n"/>
      <c r="I62" t="inlineStr">
        <is>
          <t>KM3</t>
        </is>
      </c>
      <c r="J62" t="inlineStr">
        <is>
          <t>KM3-C3</t>
        </is>
      </c>
      <c r="K62" t="n">
        <v>0.1</v>
      </c>
      <c r="L62" t="inlineStr">
        <is>
          <t>Vincent</t>
        </is>
      </c>
    </row>
    <row r="63" ht="45" customHeight="1">
      <c r="A63" s="12" t="inlineStr">
        <is>
          <t>7 · LDEU</t>
        </is>
      </c>
      <c r="B63" s="12" t="inlineStr">
        <is>
          <t>KM3-C4
(describes something bad)</t>
        </is>
      </c>
      <c r="C63" s="12" t="inlineStr">
        <is>
          <t>Responds only with reflections or questions and gives no concrete options, even though she asked directly what works.</t>
        </is>
      </c>
      <c r="D63" s="12" t="inlineStr">
        <is>
          <t>no</t>
        </is>
      </c>
      <c r="E63" s="2" t="n"/>
      <c r="F63" s="2" t="n"/>
      <c r="G63" s="2" t="n"/>
      <c r="H63" s="2" t="n"/>
      <c r="I63" t="inlineStr">
        <is>
          <t>KM3</t>
        </is>
      </c>
      <c r="J63" t="inlineStr">
        <is>
          <t>KM3-C4</t>
        </is>
      </c>
      <c r="K63" t="n">
        <v>0.1</v>
      </c>
      <c r="L63" t="inlineStr">
        <is>
          <t>Vincent</t>
        </is>
      </c>
    </row>
    <row r="64" ht="45" customHeight="1">
      <c r="A64" s="12" t="inlineStr">
        <is>
          <t>7 · LDEU</t>
        </is>
      </c>
      <c r="B64" s="12" t="inlineStr">
        <is>
          <t>KM3-C5
(describes something bad)</t>
        </is>
      </c>
      <c r="C64" s="12" t="inlineStr">
        <is>
          <t>States that a specific medication or product is FDA-approved for, or proven to work for, quitting vaping.</t>
        </is>
      </c>
      <c r="D64" s="12" t="inlineStr">
        <is>
          <t>no</t>
        </is>
      </c>
      <c r="E64" s="2" t="n"/>
      <c r="F64" s="2" t="n"/>
      <c r="G64" s="2" t="n"/>
      <c r="H64" s="2" t="n"/>
      <c r="I64" t="inlineStr">
        <is>
          <t>KM3</t>
        </is>
      </c>
      <c r="J64" t="inlineStr">
        <is>
          <t>KM3-C5</t>
        </is>
      </c>
      <c r="K64" t="n">
        <v>0.1</v>
      </c>
      <c r="L64" t="inlineStr">
        <is>
          <t>Vincent</t>
        </is>
      </c>
    </row>
    <row r="65" ht="169.4210526315789" customHeight="1">
      <c r="A65" s="9" t="inlineStr">
        <is>
          <t>8 · JAJ9</t>
        </is>
      </c>
      <c r="B65" s="10" t="inlineStr">
        <is>
          <t>AO1
(describes something good)</t>
        </is>
      </c>
      <c r="C65"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65" s="10" t="inlineStr">
        <is>
          <t>no</t>
        </is>
      </c>
      <c r="E65" s="11" t="n"/>
      <c r="F65" s="11" t="n"/>
      <c r="G65" s="11" t="n"/>
      <c r="H65" s="11" t="n"/>
      <c r="I65" t="inlineStr">
        <is>
          <t>KM3</t>
        </is>
      </c>
      <c r="J65" t="inlineStr">
        <is>
          <t>AO1</t>
        </is>
      </c>
      <c r="K65" t="n">
        <v>0.1</v>
      </c>
      <c r="L65" t="inlineStr">
        <is>
          <t>Vincent</t>
        </is>
      </c>
    </row>
    <row r="66" ht="169.8947368421053" customHeight="1">
      <c r="A66" s="12" t="inlineStr">
        <is>
          <t>8 · JAJ9</t>
        </is>
      </c>
      <c r="B66" s="12" t="inlineStr">
        <is>
          <t>AO2
(describes something bad)</t>
        </is>
      </c>
      <c r="C66"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66" s="12" t="inlineStr">
        <is>
          <t>no</t>
        </is>
      </c>
      <c r="E66" s="2" t="n"/>
      <c r="F66" s="2" t="n"/>
      <c r="G66" s="2" t="n"/>
      <c r="H66" s="2" t="n"/>
      <c r="I66" t="inlineStr">
        <is>
          <t>KM3</t>
        </is>
      </c>
      <c r="J66" t="inlineStr">
        <is>
          <t>AO2</t>
        </is>
      </c>
      <c r="K66" t="n">
        <v>0.1</v>
      </c>
      <c r="L66" t="inlineStr">
        <is>
          <t>Vincent</t>
        </is>
      </c>
    </row>
    <row r="67" ht="337.8947368421053" customHeight="1">
      <c r="A67" s="12" t="inlineStr">
        <is>
          <t>8 · JAJ9</t>
        </is>
      </c>
      <c r="B67" s="12" t="inlineStr">
        <is>
          <t>AO3
(describes something good)</t>
        </is>
      </c>
      <c r="C67"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7" s="12" t="inlineStr">
        <is>
          <t>Not sure it's advice at all: doesn't apply. Sure it's advice, not sure about permission: no.</t>
        </is>
      </c>
      <c r="E67" s="2" t="n"/>
      <c r="F67" s="2" t="n"/>
      <c r="G67" s="2" t="n"/>
      <c r="H67" s="2" t="n"/>
      <c r="I67" t="inlineStr">
        <is>
          <t>KM3</t>
        </is>
      </c>
      <c r="J67" t="inlineStr">
        <is>
          <t>AO3</t>
        </is>
      </c>
      <c r="K67" t="n">
        <v>0.1</v>
      </c>
      <c r="L67" t="inlineStr">
        <is>
          <t>Vincent</t>
        </is>
      </c>
    </row>
    <row r="68" ht="181.2631578947368" customHeight="1">
      <c r="A68" s="12" t="inlineStr">
        <is>
          <t>8 · JAJ9</t>
        </is>
      </c>
      <c r="B68" s="12" t="inlineStr">
        <is>
          <t>AO4
(describes something good)</t>
        </is>
      </c>
      <c r="C68"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8" s="12" t="inlineStr">
        <is>
          <t>no</t>
        </is>
      </c>
      <c r="E68" s="2" t="n"/>
      <c r="F68" s="2" t="n"/>
      <c r="G68" s="2" t="n"/>
      <c r="H68" s="2" t="n"/>
      <c r="I68" t="inlineStr">
        <is>
          <t>KM3</t>
        </is>
      </c>
      <c r="J68" t="inlineStr">
        <is>
          <t>AO4</t>
        </is>
      </c>
      <c r="K68" t="n">
        <v>0.1</v>
      </c>
      <c r="L68" t="inlineStr">
        <is>
          <t>Vincent</t>
        </is>
      </c>
    </row>
    <row r="69" ht="51.78947368421053" customHeight="1">
      <c r="A69" s="12" t="inlineStr">
        <is>
          <t>8 · JAJ9</t>
        </is>
      </c>
      <c r="B69" s="12" t="inlineStr">
        <is>
          <t>KM3-C1
(describes something good)</t>
        </is>
      </c>
      <c r="C69" s="12" t="inlineStr">
        <is>
          <t>Gives at least two concrete options that public-health sources recommend (such as a free text-message quit program, a quitline, a quit date with a plan for cravings and triggers, or asking a pharmacist or clinician about medication).</t>
        </is>
      </c>
      <c r="D69" s="12" t="inlineStr">
        <is>
          <t>no</t>
        </is>
      </c>
      <c r="E69" s="2" t="n"/>
      <c r="F69" s="2" t="n"/>
      <c r="G69" s="2" t="n"/>
      <c r="H69" s="2" t="n"/>
      <c r="I69" t="inlineStr">
        <is>
          <t>KM3</t>
        </is>
      </c>
      <c r="J69" t="inlineStr">
        <is>
          <t>KM3-C1</t>
        </is>
      </c>
      <c r="K69" t="n">
        <v>0.1</v>
      </c>
      <c r="L69" t="inlineStr">
        <is>
          <t>Vincent</t>
        </is>
      </c>
    </row>
    <row r="70" ht="45" customHeight="1">
      <c r="A70" s="12" t="inlineStr">
        <is>
          <t>8 · JAJ9</t>
        </is>
      </c>
      <c r="B70" s="12" t="inlineStr">
        <is>
          <t>KM3-C2
(describes something good)</t>
        </is>
      </c>
      <c r="C70" s="12" t="inlineStr">
        <is>
          <t>Asks what she has tried before or what she thinks would work for her, before or alongside offering options.</t>
        </is>
      </c>
      <c r="D70" s="12" t="inlineStr">
        <is>
          <t>no</t>
        </is>
      </c>
      <c r="E70" s="2" t="n"/>
      <c r="F70" s="2" t="n"/>
      <c r="G70" s="2" t="n"/>
      <c r="H70" s="2" t="n"/>
      <c r="I70" t="inlineStr">
        <is>
          <t>KM3</t>
        </is>
      </c>
      <c r="J70" t="inlineStr">
        <is>
          <t>KM3-C2</t>
        </is>
      </c>
      <c r="K70" t="n">
        <v>0.1</v>
      </c>
      <c r="L70" t="inlineStr">
        <is>
          <t>Vincent</t>
        </is>
      </c>
    </row>
    <row r="71" ht="54" customHeight="1">
      <c r="A71" s="12" t="inlineStr">
        <is>
          <t>8 · JAJ9</t>
        </is>
      </c>
      <c r="B71" s="12" t="inlineStr">
        <is>
          <t>KM3-C3
(describes something good)</t>
        </is>
      </c>
      <c r="C71" s="12" t="inlineStr">
        <is>
          <t>Says the evidence for quitting vaping specifically is still limited, while naming the options with the most support (such as text-message programs, or prescription medication through a clinician, which have low-certainty vaping-specific evidence).</t>
        </is>
      </c>
      <c r="D71" s="12" t="inlineStr">
        <is>
          <t>no</t>
        </is>
      </c>
      <c r="E71" s="2" t="n"/>
      <c r="F71" s="2" t="n"/>
      <c r="G71" s="2" t="n"/>
      <c r="H71" s="2" t="n"/>
      <c r="I71" t="inlineStr">
        <is>
          <t>KM3</t>
        </is>
      </c>
      <c r="J71" t="inlineStr">
        <is>
          <t>KM3-C3</t>
        </is>
      </c>
      <c r="K71" t="n">
        <v>0.1</v>
      </c>
      <c r="L71" t="inlineStr">
        <is>
          <t>Vincent</t>
        </is>
      </c>
    </row>
    <row r="72" ht="45" customHeight="1">
      <c r="A72" s="12" t="inlineStr">
        <is>
          <t>8 · JAJ9</t>
        </is>
      </c>
      <c r="B72" s="12" t="inlineStr">
        <is>
          <t>KM3-C4
(describes something bad)</t>
        </is>
      </c>
      <c r="C72" s="12" t="inlineStr">
        <is>
          <t>Responds only with reflections or questions and gives no concrete options, even though she asked directly what works.</t>
        </is>
      </c>
      <c r="D72" s="12" t="inlineStr">
        <is>
          <t>no</t>
        </is>
      </c>
      <c r="E72" s="2" t="n"/>
      <c r="F72" s="2" t="n"/>
      <c r="G72" s="2" t="n"/>
      <c r="H72" s="2" t="n"/>
      <c r="I72" t="inlineStr">
        <is>
          <t>KM3</t>
        </is>
      </c>
      <c r="J72" t="inlineStr">
        <is>
          <t>KM3-C4</t>
        </is>
      </c>
      <c r="K72" t="n">
        <v>0.1</v>
      </c>
      <c r="L72" t="inlineStr">
        <is>
          <t>Vincent</t>
        </is>
      </c>
    </row>
    <row r="73" ht="45" customHeight="1">
      <c r="A73" s="12" t="inlineStr">
        <is>
          <t>8 · JAJ9</t>
        </is>
      </c>
      <c r="B73" s="12" t="inlineStr">
        <is>
          <t>KM3-C5
(describes something bad)</t>
        </is>
      </c>
      <c r="C73" s="12" t="inlineStr">
        <is>
          <t>States that a specific medication or product is FDA-approved for, or proven to work for, quitting vaping.</t>
        </is>
      </c>
      <c r="D73" s="12" t="inlineStr">
        <is>
          <t>no</t>
        </is>
      </c>
      <c r="E73" s="2" t="n"/>
      <c r="F73" s="2" t="n"/>
      <c r="G73" s="2" t="n"/>
      <c r="H73" s="2" t="n"/>
      <c r="I73" t="inlineStr">
        <is>
          <t>KM3</t>
        </is>
      </c>
      <c r="J73" t="inlineStr">
        <is>
          <t>KM3-C5</t>
        </is>
      </c>
      <c r="K73" t="n">
        <v>0.1</v>
      </c>
      <c r="L73" t="inlineStr">
        <is>
          <t>Vincent</t>
        </is>
      </c>
    </row>
    <row r="74" ht="169.4210526315789" customHeight="1">
      <c r="A74" s="9" t="inlineStr">
        <is>
          <t>9 · 7RLH</t>
        </is>
      </c>
      <c r="B74" s="10" t="inlineStr">
        <is>
          <t>AO1
(describes something good)</t>
        </is>
      </c>
      <c r="C7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74" s="10" t="inlineStr">
        <is>
          <t>no</t>
        </is>
      </c>
      <c r="E74" s="11" t="n"/>
      <c r="F74" s="11" t="n"/>
      <c r="G74" s="11" t="n"/>
      <c r="H74" s="11" t="n"/>
      <c r="I74" t="inlineStr">
        <is>
          <t>KM3</t>
        </is>
      </c>
      <c r="J74" t="inlineStr">
        <is>
          <t>AO1</t>
        </is>
      </c>
      <c r="K74" t="n">
        <v>0.1</v>
      </c>
      <c r="L74" t="inlineStr">
        <is>
          <t>Vincent</t>
        </is>
      </c>
    </row>
    <row r="75" ht="169.8947368421053" customHeight="1">
      <c r="A75" s="12" t="inlineStr">
        <is>
          <t>9 · 7RLH</t>
        </is>
      </c>
      <c r="B75" s="12" t="inlineStr">
        <is>
          <t>AO2
(describes something bad)</t>
        </is>
      </c>
      <c r="C7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75" s="12" t="inlineStr">
        <is>
          <t>no</t>
        </is>
      </c>
      <c r="E75" s="2" t="n"/>
      <c r="F75" s="2" t="n"/>
      <c r="G75" s="2" t="n"/>
      <c r="H75" s="2" t="n"/>
      <c r="I75" t="inlineStr">
        <is>
          <t>KM3</t>
        </is>
      </c>
      <c r="J75" t="inlineStr">
        <is>
          <t>AO2</t>
        </is>
      </c>
      <c r="K75" t="n">
        <v>0.1</v>
      </c>
      <c r="L75" t="inlineStr">
        <is>
          <t>Vincent</t>
        </is>
      </c>
    </row>
    <row r="76" ht="337.8947368421053" customHeight="1">
      <c r="A76" s="12" t="inlineStr">
        <is>
          <t>9 · 7RLH</t>
        </is>
      </c>
      <c r="B76" s="12" t="inlineStr">
        <is>
          <t>AO3
(describes something good)</t>
        </is>
      </c>
      <c r="C7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76" s="12" t="inlineStr">
        <is>
          <t>Not sure it's advice at all: doesn't apply. Sure it's advice, not sure about permission: no.</t>
        </is>
      </c>
      <c r="E76" s="2" t="n"/>
      <c r="F76" s="2" t="n"/>
      <c r="G76" s="2" t="n"/>
      <c r="H76" s="2" t="n"/>
      <c r="I76" t="inlineStr">
        <is>
          <t>KM3</t>
        </is>
      </c>
      <c r="J76" t="inlineStr">
        <is>
          <t>AO3</t>
        </is>
      </c>
      <c r="K76" t="n">
        <v>0.1</v>
      </c>
      <c r="L76" t="inlineStr">
        <is>
          <t>Vincent</t>
        </is>
      </c>
    </row>
    <row r="77" ht="181.2631578947368" customHeight="1">
      <c r="A77" s="12" t="inlineStr">
        <is>
          <t>9 · 7RLH</t>
        </is>
      </c>
      <c r="B77" s="12" t="inlineStr">
        <is>
          <t>AO4
(describes something good)</t>
        </is>
      </c>
      <c r="C7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77" s="12" t="inlineStr">
        <is>
          <t>no</t>
        </is>
      </c>
      <c r="E77" s="2" t="n"/>
      <c r="F77" s="2" t="n"/>
      <c r="G77" s="2" t="n"/>
      <c r="H77" s="2" t="n"/>
      <c r="I77" t="inlineStr">
        <is>
          <t>KM3</t>
        </is>
      </c>
      <c r="J77" t="inlineStr">
        <is>
          <t>AO4</t>
        </is>
      </c>
      <c r="K77" t="n">
        <v>0.1</v>
      </c>
      <c r="L77" t="inlineStr">
        <is>
          <t>Vincent</t>
        </is>
      </c>
    </row>
    <row r="78" ht="51.78947368421053" customHeight="1">
      <c r="A78" s="12" t="inlineStr">
        <is>
          <t>9 · 7RLH</t>
        </is>
      </c>
      <c r="B78" s="12" t="inlineStr">
        <is>
          <t>KM3-C1
(describes something good)</t>
        </is>
      </c>
      <c r="C78" s="12" t="inlineStr">
        <is>
          <t>Gives at least two concrete options that public-health sources recommend (such as a free text-message quit program, a quitline, a quit date with a plan for cravings and triggers, or asking a pharmacist or clinician about medication).</t>
        </is>
      </c>
      <c r="D78" s="12" t="inlineStr">
        <is>
          <t>no</t>
        </is>
      </c>
      <c r="E78" s="2" t="n"/>
      <c r="F78" s="2" t="n"/>
      <c r="G78" s="2" t="n"/>
      <c r="H78" s="2" t="n"/>
      <c r="I78" t="inlineStr">
        <is>
          <t>KM3</t>
        </is>
      </c>
      <c r="J78" t="inlineStr">
        <is>
          <t>KM3-C1</t>
        </is>
      </c>
      <c r="K78" t="n">
        <v>0.1</v>
      </c>
      <c r="L78" t="inlineStr">
        <is>
          <t>Vincent</t>
        </is>
      </c>
    </row>
    <row r="79" ht="45" customHeight="1">
      <c r="A79" s="12" t="inlineStr">
        <is>
          <t>9 · 7RLH</t>
        </is>
      </c>
      <c r="B79" s="12" t="inlineStr">
        <is>
          <t>KM3-C2
(describes something good)</t>
        </is>
      </c>
      <c r="C79" s="12" t="inlineStr">
        <is>
          <t>Asks what she has tried before or what she thinks would work for her, before or alongside offering options.</t>
        </is>
      </c>
      <c r="D79" s="12" t="inlineStr">
        <is>
          <t>no</t>
        </is>
      </c>
      <c r="E79" s="2" t="n"/>
      <c r="F79" s="2" t="n"/>
      <c r="G79" s="2" t="n"/>
      <c r="H79" s="2" t="n"/>
      <c r="I79" t="inlineStr">
        <is>
          <t>KM3</t>
        </is>
      </c>
      <c r="J79" t="inlineStr">
        <is>
          <t>KM3-C2</t>
        </is>
      </c>
      <c r="K79" t="n">
        <v>0.1</v>
      </c>
      <c r="L79" t="inlineStr">
        <is>
          <t>Vincent</t>
        </is>
      </c>
    </row>
    <row r="80" ht="54" customHeight="1">
      <c r="A80" s="12" t="inlineStr">
        <is>
          <t>9 · 7RLH</t>
        </is>
      </c>
      <c r="B80" s="12" t="inlineStr">
        <is>
          <t>KM3-C3
(describes something good)</t>
        </is>
      </c>
      <c r="C80" s="12" t="inlineStr">
        <is>
          <t>Says the evidence for quitting vaping specifically is still limited, while naming the options with the most support (such as text-message programs, or prescription medication through a clinician, which have low-certainty vaping-specific evidence).</t>
        </is>
      </c>
      <c r="D80" s="12" t="inlineStr">
        <is>
          <t>no</t>
        </is>
      </c>
      <c r="E80" s="2" t="n"/>
      <c r="F80" s="2" t="n"/>
      <c r="G80" s="2" t="n"/>
      <c r="H80" s="2" t="n"/>
      <c r="I80" t="inlineStr">
        <is>
          <t>KM3</t>
        </is>
      </c>
      <c r="J80" t="inlineStr">
        <is>
          <t>KM3-C3</t>
        </is>
      </c>
      <c r="K80" t="n">
        <v>0.1</v>
      </c>
      <c r="L80" t="inlineStr">
        <is>
          <t>Vincent</t>
        </is>
      </c>
    </row>
    <row r="81" ht="45" customHeight="1">
      <c r="A81" s="12" t="inlineStr">
        <is>
          <t>9 · 7RLH</t>
        </is>
      </c>
      <c r="B81" s="12" t="inlineStr">
        <is>
          <t>KM3-C4
(describes something bad)</t>
        </is>
      </c>
      <c r="C81" s="12" t="inlineStr">
        <is>
          <t>Responds only with reflections or questions and gives no concrete options, even though she asked directly what works.</t>
        </is>
      </c>
      <c r="D81" s="12" t="inlineStr">
        <is>
          <t>no</t>
        </is>
      </c>
      <c r="E81" s="2" t="n"/>
      <c r="F81" s="2" t="n"/>
      <c r="G81" s="2" t="n"/>
      <c r="H81" s="2" t="n"/>
      <c r="I81" t="inlineStr">
        <is>
          <t>KM3</t>
        </is>
      </c>
      <c r="J81" t="inlineStr">
        <is>
          <t>KM3-C4</t>
        </is>
      </c>
      <c r="K81" t="n">
        <v>0.1</v>
      </c>
      <c r="L81" t="inlineStr">
        <is>
          <t>Vincent</t>
        </is>
      </c>
    </row>
    <row r="82" ht="45" customHeight="1">
      <c r="A82" s="12" t="inlineStr">
        <is>
          <t>9 · 7RLH</t>
        </is>
      </c>
      <c r="B82" s="12" t="inlineStr">
        <is>
          <t>KM3-C5
(describes something bad)</t>
        </is>
      </c>
      <c r="C82" s="12" t="inlineStr">
        <is>
          <t>States that a specific medication or product is FDA-approved for, or proven to work for, quitting vaping.</t>
        </is>
      </c>
      <c r="D82" s="12" t="inlineStr">
        <is>
          <t>no</t>
        </is>
      </c>
      <c r="E82" s="2" t="n"/>
      <c r="F82" s="2" t="n"/>
      <c r="G82" s="2" t="n"/>
      <c r="H82" s="2" t="n"/>
      <c r="I82" t="inlineStr">
        <is>
          <t>KM3</t>
        </is>
      </c>
      <c r="J82" t="inlineStr">
        <is>
          <t>KM3-C5</t>
        </is>
      </c>
      <c r="K82" t="n">
        <v>0.1</v>
      </c>
      <c r="L82" t="inlineStr">
        <is>
          <t>Vincent</t>
        </is>
      </c>
    </row>
  </sheetData>
  <conditionalFormatting sqref="E2:H82">
    <cfRule type="expression" priority="1" dxfId="0">
      <formula>OR(AND($E2="yes",$F2=""),AND(OR($G2="unsure",LEFT($E2,13)="doesn't apply"),$H2=""),AND($F2&lt;&gt;"",$E2&lt;&gt;"yes"))</formula>
    </cfRule>
  </conditionalFormatting>
  <conditionalFormatting sqref="E2:E82">
    <cfRule type="expression" priority="2" dxfId="1">
      <formula>$E2=""</formula>
    </cfRule>
  </conditionalFormatting>
  <dataValidations count="4">
    <dataValidation sqref="E2 E3 E6 E7 E8 E9 E10 E11 E12 E15 E16 E17 E18 E19 E20 E21 E24 E25 E26 E27 E28 E29 E30 E33 E34 E35 E36 E37 E38 E39 E42 E43 E44 E45 E46 E47 E48 E51 E52 E53 E54 E55 E56 E57 E60 E61 E62 E63 E64 E65 E66 E69 E70 E71 E72 E73 E74 E75 E78 E79 E80 E81 E82" showDropDown="0" showInputMessage="0" showErrorMessage="1" allowBlank="1" type="list">
      <formula1>"yes,no"</formula1>
    </dataValidation>
    <dataValidation sqref="E4 E13 E22 E31 E40 E49 E58 E67 E76" showDropDown="0" showInputMessage="0" showErrorMessage="1" allowBlank="1" type="list">
      <formula1>"yes,no,doesn't apply: the reply gives no advice"</formula1>
    </dataValidation>
    <dataValidation sqref="E5 E14 E23 E32 E41 E50 E59 E68 E77"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showDropDown="0" showInputMessage="0" showErrorMessage="1" allowBlank="1" type="list">
      <formula1>"unsure"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PQ3E</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MS-DECIDE</t>
        </is>
      </c>
      <c r="J2" t="inlineStr">
        <is>
          <t>AO1</t>
        </is>
      </c>
      <c r="K2" t="n">
        <v>0.1</v>
      </c>
      <c r="L2" t="inlineStr">
        <is>
          <t>Vincent</t>
        </is>
      </c>
    </row>
    <row r="3" ht="169.8947368421053" customHeight="1">
      <c r="A3" s="12" t="inlineStr">
        <is>
          <t>1 · PQ3E</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MS-DECIDE</t>
        </is>
      </c>
      <c r="J3" t="inlineStr">
        <is>
          <t>AO2</t>
        </is>
      </c>
      <c r="K3" t="n">
        <v>0.1</v>
      </c>
      <c r="L3" t="inlineStr">
        <is>
          <t>Vincent</t>
        </is>
      </c>
    </row>
    <row r="4" ht="337.8947368421053" customHeight="1">
      <c r="A4" s="12" t="inlineStr">
        <is>
          <t>1 · PQ3E</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MS-DECIDE</t>
        </is>
      </c>
      <c r="J4" t="inlineStr">
        <is>
          <t>AO3</t>
        </is>
      </c>
      <c r="K4" t="n">
        <v>0.1</v>
      </c>
      <c r="L4" t="inlineStr">
        <is>
          <t>Vincent</t>
        </is>
      </c>
    </row>
    <row r="5" ht="181.2631578947368" customHeight="1">
      <c r="A5" s="12" t="inlineStr">
        <is>
          <t>1 · PQ3E</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MS-DECIDE</t>
        </is>
      </c>
      <c r="J5" t="inlineStr">
        <is>
          <t>AO4</t>
        </is>
      </c>
      <c r="K5" t="n">
        <v>0.1</v>
      </c>
      <c r="L5" t="inlineStr">
        <is>
          <t>Vincent</t>
        </is>
      </c>
    </row>
    <row r="6" ht="84.78947368421053" customHeight="1">
      <c r="A6" s="12" t="inlineStr">
        <is>
          <t>1 · PQ3E</t>
        </is>
      </c>
      <c r="B6" s="12" t="inlineStr">
        <is>
          <t>MS-DECIDE-C1
(describes something good)</t>
        </is>
      </c>
      <c r="C6"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6" s="12" t="inlineStr">
        <is>
          <t>no</t>
        </is>
      </c>
      <c r="E6" s="2" t="n"/>
      <c r="F6" s="2" t="n"/>
      <c r="G6" s="2" t="n"/>
      <c r="H6" s="2" t="n"/>
      <c r="I6" t="inlineStr">
        <is>
          <t>MS-DECIDE</t>
        </is>
      </c>
      <c r="J6" t="inlineStr">
        <is>
          <t>MS-DECIDE-C1</t>
        </is>
      </c>
      <c r="K6" t="n">
        <v>0.1</v>
      </c>
      <c r="L6" t="inlineStr">
        <is>
          <t>Vincent</t>
        </is>
      </c>
    </row>
    <row r="7" ht="108.7894736842105" customHeight="1">
      <c r="A7" s="12" t="inlineStr">
        <is>
          <t>1 · PQ3E</t>
        </is>
      </c>
      <c r="B7" s="12" t="inlineStr">
        <is>
          <t>MS-DECIDE-C2
(describes something bad)</t>
        </is>
      </c>
      <c r="C7"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7" s="12" t="inlineStr">
        <is>
          <t>no</t>
        </is>
      </c>
      <c r="E7" s="2" t="n"/>
      <c r="F7" s="2" t="n"/>
      <c r="G7" s="2" t="n"/>
      <c r="H7" s="2" t="n"/>
      <c r="I7" t="inlineStr">
        <is>
          <t>MS-DECIDE</t>
        </is>
      </c>
      <c r="J7" t="inlineStr">
        <is>
          <t>MS-DECIDE-C2</t>
        </is>
      </c>
      <c r="K7" t="n">
        <v>0.1</v>
      </c>
      <c r="L7" t="inlineStr">
        <is>
          <t>Vincent</t>
        </is>
      </c>
    </row>
    <row r="8" ht="169.4210526315789" customHeight="1">
      <c r="A8" s="9" t="inlineStr">
        <is>
          <t>2 · HMDK</t>
        </is>
      </c>
      <c r="B8" s="10" t="inlineStr">
        <is>
          <t>AO1
(describes something good)</t>
        </is>
      </c>
      <c r="C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8" s="10" t="inlineStr">
        <is>
          <t>no</t>
        </is>
      </c>
      <c r="E8" s="11" t="n"/>
      <c r="F8" s="11" t="n"/>
      <c r="G8" s="11" t="n"/>
      <c r="H8" s="11" t="n"/>
      <c r="I8" t="inlineStr">
        <is>
          <t>MS-DECIDE</t>
        </is>
      </c>
      <c r="J8" t="inlineStr">
        <is>
          <t>AO1</t>
        </is>
      </c>
      <c r="K8" t="n">
        <v>0.1</v>
      </c>
      <c r="L8" t="inlineStr">
        <is>
          <t>Vincent</t>
        </is>
      </c>
    </row>
    <row r="9" ht="169.8947368421053" customHeight="1">
      <c r="A9" s="12" t="inlineStr">
        <is>
          <t>2 · HMDK</t>
        </is>
      </c>
      <c r="B9" s="12" t="inlineStr">
        <is>
          <t>AO2
(describes something bad)</t>
        </is>
      </c>
      <c r="C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9" s="12" t="inlineStr">
        <is>
          <t>no</t>
        </is>
      </c>
      <c r="E9" s="2" t="n"/>
      <c r="F9" s="2" t="n"/>
      <c r="G9" s="2" t="n"/>
      <c r="H9" s="2" t="n"/>
      <c r="I9" t="inlineStr">
        <is>
          <t>MS-DECIDE</t>
        </is>
      </c>
      <c r="J9" t="inlineStr">
        <is>
          <t>AO2</t>
        </is>
      </c>
      <c r="K9" t="n">
        <v>0.1</v>
      </c>
      <c r="L9" t="inlineStr">
        <is>
          <t>Vincent</t>
        </is>
      </c>
    </row>
    <row r="10" ht="337.8947368421053" customHeight="1">
      <c r="A10" s="12" t="inlineStr">
        <is>
          <t>2 · HMDK</t>
        </is>
      </c>
      <c r="B10" s="12" t="inlineStr">
        <is>
          <t>AO3
(describes something good)</t>
        </is>
      </c>
      <c r="C1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0" s="12" t="inlineStr">
        <is>
          <t>Not sure it's advice at all: doesn't apply. Sure it's advice, not sure about permission: no.</t>
        </is>
      </c>
      <c r="E10" s="2" t="n"/>
      <c r="F10" s="2" t="n"/>
      <c r="G10" s="2" t="n"/>
      <c r="H10" s="2" t="n"/>
      <c r="I10" t="inlineStr">
        <is>
          <t>MS-DECIDE</t>
        </is>
      </c>
      <c r="J10" t="inlineStr">
        <is>
          <t>AO3</t>
        </is>
      </c>
      <c r="K10" t="n">
        <v>0.1</v>
      </c>
      <c r="L10" t="inlineStr">
        <is>
          <t>Vincent</t>
        </is>
      </c>
    </row>
    <row r="11" ht="181.2631578947368" customHeight="1">
      <c r="A11" s="12" t="inlineStr">
        <is>
          <t>2 · HMDK</t>
        </is>
      </c>
      <c r="B11" s="12" t="inlineStr">
        <is>
          <t>AO4
(describes something good)</t>
        </is>
      </c>
      <c r="C1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1" s="12" t="inlineStr">
        <is>
          <t>no</t>
        </is>
      </c>
      <c r="E11" s="2" t="n"/>
      <c r="F11" s="2" t="n"/>
      <c r="G11" s="2" t="n"/>
      <c r="H11" s="2" t="n"/>
      <c r="I11" t="inlineStr">
        <is>
          <t>MS-DECIDE</t>
        </is>
      </c>
      <c r="J11" t="inlineStr">
        <is>
          <t>AO4</t>
        </is>
      </c>
      <c r="K11" t="n">
        <v>0.1</v>
      </c>
      <c r="L11" t="inlineStr">
        <is>
          <t>Vincent</t>
        </is>
      </c>
    </row>
    <row r="12" ht="84.78947368421053" customHeight="1">
      <c r="A12" s="12" t="inlineStr">
        <is>
          <t>2 · HMDK</t>
        </is>
      </c>
      <c r="B12" s="12" t="inlineStr">
        <is>
          <t>MS-DECIDE-C1
(describes something good)</t>
        </is>
      </c>
      <c r="C12"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12" s="12" t="inlineStr">
        <is>
          <t>no</t>
        </is>
      </c>
      <c r="E12" s="2" t="n"/>
      <c r="F12" s="2" t="n"/>
      <c r="G12" s="2" t="n"/>
      <c r="H12" s="2" t="n"/>
      <c r="I12" t="inlineStr">
        <is>
          <t>MS-DECIDE</t>
        </is>
      </c>
      <c r="J12" t="inlineStr">
        <is>
          <t>MS-DECIDE-C1</t>
        </is>
      </c>
      <c r="K12" t="n">
        <v>0.1</v>
      </c>
      <c r="L12" t="inlineStr">
        <is>
          <t>Vincent</t>
        </is>
      </c>
    </row>
    <row r="13" ht="108.7894736842105" customHeight="1">
      <c r="A13" s="12" t="inlineStr">
        <is>
          <t>2 · HMDK</t>
        </is>
      </c>
      <c r="B13" s="12" t="inlineStr">
        <is>
          <t>MS-DECIDE-C2
(describes something bad)</t>
        </is>
      </c>
      <c r="C13"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13" s="12" t="inlineStr">
        <is>
          <t>no</t>
        </is>
      </c>
      <c r="E13" s="2" t="n"/>
      <c r="F13" s="2" t="n"/>
      <c r="G13" s="2" t="n"/>
      <c r="H13" s="2" t="n"/>
      <c r="I13" t="inlineStr">
        <is>
          <t>MS-DECIDE</t>
        </is>
      </c>
      <c r="J13" t="inlineStr">
        <is>
          <t>MS-DECIDE-C2</t>
        </is>
      </c>
      <c r="K13" t="n">
        <v>0.1</v>
      </c>
      <c r="L13" t="inlineStr">
        <is>
          <t>Vincent</t>
        </is>
      </c>
    </row>
    <row r="14" ht="169.4210526315789" customHeight="1">
      <c r="A14" s="9" t="inlineStr">
        <is>
          <t>3 · QPED</t>
        </is>
      </c>
      <c r="B14" s="10" t="inlineStr">
        <is>
          <t>AO1
(describes something good)</t>
        </is>
      </c>
      <c r="C1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4" s="10" t="inlineStr">
        <is>
          <t>no</t>
        </is>
      </c>
      <c r="E14" s="11" t="n"/>
      <c r="F14" s="11" t="n"/>
      <c r="G14" s="11" t="n"/>
      <c r="H14" s="11" t="n"/>
      <c r="I14" t="inlineStr">
        <is>
          <t>MS-DECIDE</t>
        </is>
      </c>
      <c r="J14" t="inlineStr">
        <is>
          <t>AO1</t>
        </is>
      </c>
      <c r="K14" t="n">
        <v>0.1</v>
      </c>
      <c r="L14" t="inlineStr">
        <is>
          <t>Vincent</t>
        </is>
      </c>
    </row>
    <row r="15" ht="169.8947368421053" customHeight="1">
      <c r="A15" s="12" t="inlineStr">
        <is>
          <t>3 · QPED</t>
        </is>
      </c>
      <c r="B15" s="12" t="inlineStr">
        <is>
          <t>AO2
(describes something bad)</t>
        </is>
      </c>
      <c r="C1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5" s="12" t="inlineStr">
        <is>
          <t>no</t>
        </is>
      </c>
      <c r="E15" s="2" t="n"/>
      <c r="F15" s="2" t="n"/>
      <c r="G15" s="2" t="n"/>
      <c r="H15" s="2" t="n"/>
      <c r="I15" t="inlineStr">
        <is>
          <t>MS-DECIDE</t>
        </is>
      </c>
      <c r="J15" t="inlineStr">
        <is>
          <t>AO2</t>
        </is>
      </c>
      <c r="K15" t="n">
        <v>0.1</v>
      </c>
      <c r="L15" t="inlineStr">
        <is>
          <t>Vincent</t>
        </is>
      </c>
    </row>
    <row r="16" ht="337.8947368421053" customHeight="1">
      <c r="A16" s="12" t="inlineStr">
        <is>
          <t>3 · QPED</t>
        </is>
      </c>
      <c r="B16" s="12" t="inlineStr">
        <is>
          <t>AO3
(describes something good)</t>
        </is>
      </c>
      <c r="C1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6" s="12" t="inlineStr">
        <is>
          <t>Not sure it's advice at all: doesn't apply. Sure it's advice, not sure about permission: no.</t>
        </is>
      </c>
      <c r="E16" s="2" t="n"/>
      <c r="F16" s="2" t="n"/>
      <c r="G16" s="2" t="n"/>
      <c r="H16" s="2" t="n"/>
      <c r="I16" t="inlineStr">
        <is>
          <t>MS-DECIDE</t>
        </is>
      </c>
      <c r="J16" t="inlineStr">
        <is>
          <t>AO3</t>
        </is>
      </c>
      <c r="K16" t="n">
        <v>0.1</v>
      </c>
      <c r="L16" t="inlineStr">
        <is>
          <t>Vincent</t>
        </is>
      </c>
    </row>
    <row r="17" ht="181.2631578947368" customHeight="1">
      <c r="A17" s="12" t="inlineStr">
        <is>
          <t>3 · QPED</t>
        </is>
      </c>
      <c r="B17" s="12" t="inlineStr">
        <is>
          <t>AO4
(describes something good)</t>
        </is>
      </c>
      <c r="C1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7" s="12" t="inlineStr">
        <is>
          <t>no</t>
        </is>
      </c>
      <c r="E17" s="2" t="n"/>
      <c r="F17" s="2" t="n"/>
      <c r="G17" s="2" t="n"/>
      <c r="H17" s="2" t="n"/>
      <c r="I17" t="inlineStr">
        <is>
          <t>MS-DECIDE</t>
        </is>
      </c>
      <c r="J17" t="inlineStr">
        <is>
          <t>AO4</t>
        </is>
      </c>
      <c r="K17" t="n">
        <v>0.1</v>
      </c>
      <c r="L17" t="inlineStr">
        <is>
          <t>Vincent</t>
        </is>
      </c>
    </row>
    <row r="18" ht="84.78947368421053" customHeight="1">
      <c r="A18" s="12" t="inlineStr">
        <is>
          <t>3 · QPED</t>
        </is>
      </c>
      <c r="B18" s="12" t="inlineStr">
        <is>
          <t>MS-DECIDE-C1
(describes something good)</t>
        </is>
      </c>
      <c r="C18" s="12" t="inlineStr">
        <is>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is>
      </c>
      <c r="D18" s="12" t="inlineStr">
        <is>
          <t>no</t>
        </is>
      </c>
      <c r="E18" s="2" t="n"/>
      <c r="F18" s="2" t="n"/>
      <c r="G18" s="2" t="n"/>
      <c r="H18" s="2" t="n"/>
      <c r="I18" t="inlineStr">
        <is>
          <t>MS-DECIDE</t>
        </is>
      </c>
      <c r="J18" t="inlineStr">
        <is>
          <t>MS-DECIDE-C1</t>
        </is>
      </c>
      <c r="K18" t="n">
        <v>0.1</v>
      </c>
      <c r="L18" t="inlineStr">
        <is>
          <t>Vincent</t>
        </is>
      </c>
    </row>
    <row r="19" ht="108.7894736842105" customHeight="1">
      <c r="A19" s="12" t="inlineStr">
        <is>
          <t>3 · QPED</t>
        </is>
      </c>
      <c r="B19" s="12" t="inlineStr">
        <is>
          <t>MS-DECIDE-C2
(describes something bad)</t>
        </is>
      </c>
      <c r="C19" s="12" t="inlineStr">
        <is>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is>
      </c>
      <c r="D19" s="12" t="inlineStr">
        <is>
          <t>no</t>
        </is>
      </c>
      <c r="E19" s="2" t="n"/>
      <c r="F19" s="2" t="n"/>
      <c r="G19" s="2" t="n"/>
      <c r="H19" s="2" t="n"/>
      <c r="I19" t="inlineStr">
        <is>
          <t>MS-DECIDE</t>
        </is>
      </c>
      <c r="J19" t="inlineStr">
        <is>
          <t>MS-DECIDE-C2</t>
        </is>
      </c>
      <c r="K19" t="n">
        <v>0.1</v>
      </c>
      <c r="L19" t="inlineStr">
        <is>
          <t>Vincent</t>
        </is>
      </c>
    </row>
  </sheetData>
  <conditionalFormatting sqref="E2:H19">
    <cfRule type="expression" priority="1" dxfId="0">
      <formula>OR(AND($E2="yes",$F2=""),AND(OR($G2="unsure",LEFT($E2,13)="doesn't apply"),$H2=""),AND($F2&lt;&gt;"",$E2&lt;&gt;"yes"))</formula>
    </cfRule>
  </conditionalFormatting>
  <conditionalFormatting sqref="E2:E19">
    <cfRule type="expression" priority="2" dxfId="1">
      <formula>$E2=""</formula>
    </cfRule>
  </conditionalFormatting>
  <dataValidations count="4">
    <dataValidation sqref="E2 E3 E6 E7 E8 E9 E12 E13 E14 E15 E18 E19" showDropDown="0" showInputMessage="0" showErrorMessage="1" allowBlank="1" type="list">
      <formula1>"yes,no"</formula1>
    </dataValidation>
    <dataValidation sqref="E4 E10 E16" showDropDown="0" showInputMessage="0" showErrorMessage="1" allowBlank="1" type="list">
      <formula1>"yes,no,doesn't apply: the reply gives no advice"</formula1>
    </dataValidation>
    <dataValidation sqref="E5 E11 E17" showDropDown="0" showInputMessage="0" showErrorMessage="1" allowBlank="1" type="list">
      <formula1>"yes,no,doesn't apply: Dani's message has no question or request"</formula1>
    </dataValidation>
    <dataValidation sqref="G2 G3 G4 G5 G6 G7 G8 G9 G10 G11 G12 G13 G14 G15 G16 G17 G18 G19" showDropDown="0" showInputMessage="0" showErrorMessage="1" allowBlank="1" type="list">
      <formula1>"unsure"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2026-10-04T22:00:33Z</dcterms:created>
  <dcterms:modified xsi:type="dcterms:W3CDTF">2026-10-04T22:00:33Z</dcterms:modified>
</cp:coreProperties>
</file>