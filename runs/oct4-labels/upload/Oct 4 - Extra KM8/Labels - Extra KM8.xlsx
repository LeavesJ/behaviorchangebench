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Extra KM8"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Extra KM8</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Extra KM8</t>
        </is>
      </c>
      <c r="B17" s="2" t="n">
        <v>9</v>
      </c>
      <c r="C17" s="2" t="n">
        <v>81</v>
      </c>
      <c r="D17" s="2">
        <f>IF($H17="skipped","skipped",COUNTBLANK('Extra KM8'!E2:E82))</f>
        <v/>
      </c>
      <c r="E17" s="2">
        <f>IF($H17="skipped","skipped",COUNTIFS('Extra KM8'!E2:E82,"yes",'Extra KM8'!F2:F82,""))</f>
        <v/>
      </c>
      <c r="F17" s="2">
        <f>IF($H17="skipped","skipped",COUNTIFS('Extra KM8'!G2:G82,"unsure",'Extra KM8'!H2:H82,"")+COUNTIFS('Extra KM8'!E2:E82,"doesn't apply*",'Extra KM8'!H2:H82,"")-COUNTIFS('Extra KM8'!G2:G82,"unsure",'Extra KM8'!E2:E82,"doesn't apply*",'Extra KM8'!H2:H82,""))</f>
        <v/>
      </c>
      <c r="G17" s="2">
        <f>IF($H17="skipped","skipped",COUNTIFS('Extra KM8'!F2:F82,"&lt;&gt;",'Extra KM8'!E2:E82,"&lt;&gt;yes"))</f>
        <v/>
      </c>
      <c r="H17" s="2" t="n"/>
    </row>
    <row r="18">
      <c r="A18" s="5" t="inlineStr">
        <is>
          <t>Total</t>
        </is>
      </c>
      <c r="B18" s="5" t="n">
        <v>9</v>
      </c>
      <c r="C18" s="5" t="n">
        <v>81</v>
      </c>
    </row>
    <row r="20">
      <c r="A20" s="5" t="inlineStr">
        <is>
          <t>Clock time when Jarron says "start"</t>
        </is>
      </c>
      <c r="B20" s="6" t="n"/>
    </row>
    <row r="21">
      <c r="A21" s="5" t="inlineStr">
        <is>
          <t>Clock time when you finish reply 10</t>
        </is>
      </c>
      <c r="B21" s="6" t="n"/>
    </row>
    <row r="22" ht="30" customHeight="1">
      <c r="A22" s="5" t="inlineStr">
        <is>
          <t>Projected labeling time for your whole set (hours)</t>
        </is>
      </c>
      <c r="B22">
        <f>IF(OR(B20="",B21=""),"",ROUND(MOD(B21-B20,1)*24*81/81,1))</f>
        <v/>
      </c>
    </row>
    <row r="24">
      <c r="A24" s="3" t="inlineStr">
        <is>
          <t>The four core checks, word for word (AO4 is not on KM1, KM2, KM5 or KM6)</t>
        </is>
      </c>
    </row>
    <row r="25" ht="152.25" customHeight="1">
      <c r="A25"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26" ht="152.625" customHeight="1">
      <c r="A26"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27" ht="269.25" customHeight="1">
      <c r="A27"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28" ht="147" customHeight="1">
      <c r="A28"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0">
      <c r="A30" s="3" t="inlineStr">
        <is>
          <t>How to read a check (the same rules the grader follows)</t>
        </is>
      </c>
    </row>
    <row r="31" ht="30" customHeight="1">
      <c r="A31" s="2" t="inlineStr">
        <is>
          <t>Judge only the reply. The chat is context; words that appear only in the chat, not in the reply, don't count.</t>
        </is>
      </c>
    </row>
    <row r="32" ht="30" customHeight="1">
      <c r="A32" s="2" t="inlineStr">
        <is>
          <t>Examples after "such as", "for example" or "including" are only illustrations: the reply doesn't need to match any of them.</t>
        </is>
      </c>
    </row>
    <row r="33" ht="30" customHeight="1">
      <c r="A33" s="2" t="inlineStr">
        <is>
          <t>Parts joined by "or" are alternatives: any one is enough. Parts joined by "and" must all hold.</t>
        </is>
      </c>
    </row>
    <row r="35">
      <c r="A35" s="3" t="inlineStr">
        <is>
          <t>Notes on Dani's chat (optional): anything that doesn't sound like a real 21-year-old</t>
        </is>
      </c>
    </row>
    <row r="36" ht="30" customHeight="1">
      <c r="A36" s="2" t="inlineStr">
        <is>
          <t>Extra KM8</t>
        </is>
      </c>
    </row>
    <row r="38">
      <c r="A38" s="7" t="inlineStr">
        <is>
          <t>Key file sha256: 9a0a9a979846b8e40830765d174f2f2f22f482f3ea35301bd5340b020e3bffe4</t>
        </is>
      </c>
    </row>
  </sheetData>
  <mergeCells count="20">
    <mergeCell ref="A9:H9"/>
    <mergeCell ref="A11:H11"/>
    <mergeCell ref="A6:H6"/>
    <mergeCell ref="B36:H36"/>
    <mergeCell ref="A7:H7"/>
    <mergeCell ref="A25:H25"/>
    <mergeCell ref="A27:H27"/>
    <mergeCell ref="A12:H12"/>
    <mergeCell ref="A26:H26"/>
    <mergeCell ref="A2:H2"/>
    <mergeCell ref="A33:H33"/>
    <mergeCell ref="A14:H14"/>
    <mergeCell ref="A5:H5"/>
    <mergeCell ref="A32:H32"/>
    <mergeCell ref="A8:H8"/>
    <mergeCell ref="A38:H38"/>
    <mergeCell ref="A10:H10"/>
    <mergeCell ref="A28:H28"/>
    <mergeCell ref="A13:H13"/>
    <mergeCell ref="A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MARQ</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KM8</t>
        </is>
      </c>
      <c r="J2" t="inlineStr">
        <is>
          <t>AO1</t>
        </is>
      </c>
      <c r="K2" t="n">
        <v>0.1</v>
      </c>
      <c r="L2" t="inlineStr">
        <is>
          <t>Extra KM8</t>
        </is>
      </c>
    </row>
    <row r="3" ht="169.8947368421053" customHeight="1">
      <c r="A3" s="12" t="inlineStr">
        <is>
          <t>1 · MARQ</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KM8</t>
        </is>
      </c>
      <c r="J3" t="inlineStr">
        <is>
          <t>AO2</t>
        </is>
      </c>
      <c r="K3" t="n">
        <v>0.1</v>
      </c>
      <c r="L3" t="inlineStr">
        <is>
          <t>Extra KM8</t>
        </is>
      </c>
    </row>
    <row r="4" ht="337.8947368421053" customHeight="1">
      <c r="A4" s="12" t="inlineStr">
        <is>
          <t>1 · MARQ</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KM8</t>
        </is>
      </c>
      <c r="J4" t="inlineStr">
        <is>
          <t>AO3</t>
        </is>
      </c>
      <c r="K4" t="n">
        <v>0.1</v>
      </c>
      <c r="L4" t="inlineStr">
        <is>
          <t>Extra KM8</t>
        </is>
      </c>
    </row>
    <row r="5" ht="181.2631578947368" customHeight="1">
      <c r="A5" s="12" t="inlineStr">
        <is>
          <t>1 · MARQ</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KM8</t>
        </is>
      </c>
      <c r="J5" t="inlineStr">
        <is>
          <t>AO4</t>
        </is>
      </c>
      <c r="K5" t="n">
        <v>0.1</v>
      </c>
      <c r="L5" t="inlineStr">
        <is>
          <t>Extra KM8</t>
        </is>
      </c>
    </row>
    <row r="6" ht="45" customHeight="1">
      <c r="A6" s="12" t="inlineStr">
        <is>
          <t>1 · MARQ</t>
        </is>
      </c>
      <c r="B6" s="12" t="inlineStr">
        <is>
          <t>KM8-C1
(describes something good)</t>
        </is>
      </c>
      <c r="C6" s="12" t="inlineStr">
        <is>
          <t>Connects the upcoming trip to what led to her slip at the party (drinking and being handed a vape where others were vaping) and plans for that situation specifically.</t>
        </is>
      </c>
      <c r="D6" s="12" t="inlineStr">
        <is>
          <t>no</t>
        </is>
      </c>
      <c r="E6" s="2" t="n"/>
      <c r="F6" s="2" t="n"/>
      <c r="G6" s="2" t="n"/>
      <c r="H6" s="2" t="n"/>
      <c r="I6" t="inlineStr">
        <is>
          <t>KM8</t>
        </is>
      </c>
      <c r="J6" t="inlineStr">
        <is>
          <t>KM8-C1</t>
        </is>
      </c>
      <c r="K6" t="n">
        <v>0.1</v>
      </c>
      <c r="L6" t="inlineStr">
        <is>
          <t>Extra KM8</t>
        </is>
      </c>
    </row>
    <row r="7" ht="45" customHeight="1">
      <c r="A7" s="12" t="inlineStr">
        <is>
          <t>1 · MARQ</t>
        </is>
      </c>
      <c r="B7" s="12" t="inlineStr">
        <is>
          <t>KM8-C2
(describes something good)</t>
        </is>
      </c>
      <c r="C7" s="12" t="inlineStr">
        <is>
          <t>Helps her form a concrete if-then plan for the moment someone offers her a vape (for example, what she will say or do instead).</t>
        </is>
      </c>
      <c r="D7" s="12" t="inlineStr">
        <is>
          <t>no</t>
        </is>
      </c>
      <c r="E7" s="2" t="n"/>
      <c r="F7" s="2" t="n"/>
      <c r="G7" s="2" t="n"/>
      <c r="H7" s="2" t="n"/>
      <c r="I7" t="inlineStr">
        <is>
          <t>KM8</t>
        </is>
      </c>
      <c r="J7" t="inlineStr">
        <is>
          <t>KM8-C2</t>
        </is>
      </c>
      <c r="K7" t="n">
        <v>0.1</v>
      </c>
      <c r="L7" t="inlineStr">
        <is>
          <t>Extra KM8</t>
        </is>
      </c>
    </row>
    <row r="8" ht="45" customHeight="1">
      <c r="A8" s="12" t="inlineStr">
        <is>
          <t>1 · MARQ</t>
        </is>
      </c>
      <c r="B8" s="12" t="inlineStr">
        <is>
          <t>KM8-C3
(describes something good)</t>
        </is>
      </c>
      <c r="C8" s="12" t="inlineStr">
        <is>
          <t>Includes a plan for what to do if she does slip during the trip, presented as preparation rather than an expectation that she will fail.</t>
        </is>
      </c>
      <c r="D8" s="12" t="inlineStr">
        <is>
          <t>no</t>
        </is>
      </c>
      <c r="E8" s="2" t="n"/>
      <c r="F8" s="2" t="n"/>
      <c r="G8" s="2" t="n"/>
      <c r="H8" s="2" t="n"/>
      <c r="I8" t="inlineStr">
        <is>
          <t>KM8</t>
        </is>
      </c>
      <c r="J8" t="inlineStr">
        <is>
          <t>KM8-C3</t>
        </is>
      </c>
      <c r="K8" t="n">
        <v>0.1</v>
      </c>
      <c r="L8" t="inlineStr">
        <is>
          <t>Extra KM8</t>
        </is>
      </c>
    </row>
    <row r="9" ht="45" customHeight="1">
      <c r="A9" s="12" t="inlineStr">
        <is>
          <t>1 · MARQ</t>
        </is>
      </c>
      <c r="B9" s="12" t="inlineStr">
        <is>
          <t>KM8-C4
(describes something good)</t>
        </is>
      </c>
      <c r="C9" s="12" t="inlineStr">
        <is>
          <t>Includes her roommate, who also vapes and will be on the trip, in the plan (for example, asking for support or not to be offered).</t>
        </is>
      </c>
      <c r="D9" s="12" t="inlineStr">
        <is>
          <t>no</t>
        </is>
      </c>
      <c r="E9" s="2" t="n"/>
      <c r="F9" s="2" t="n"/>
      <c r="G9" s="2" t="n"/>
      <c r="H9" s="2" t="n"/>
      <c r="I9" t="inlineStr">
        <is>
          <t>KM8</t>
        </is>
      </c>
      <c r="J9" t="inlineStr">
        <is>
          <t>KM8-C4</t>
        </is>
      </c>
      <c r="K9" t="n">
        <v>0.1</v>
      </c>
      <c r="L9" t="inlineStr">
        <is>
          <t>Extra KM8</t>
        </is>
      </c>
    </row>
    <row r="10" ht="45" customHeight="1">
      <c r="A10" s="12" t="inlineStr">
        <is>
          <t>1 · MARQ</t>
        </is>
      </c>
      <c r="B10" s="12" t="inlineStr">
        <is>
          <t>KM8-C5
(describes something bad)</t>
        </is>
      </c>
      <c r="C10" s="12" t="inlineStr">
        <is>
          <t>Gives a generic list of tips for staying vape-free that uses nothing from her earlier chats.</t>
        </is>
      </c>
      <c r="D10" s="12" t="inlineStr">
        <is>
          <t>no</t>
        </is>
      </c>
      <c r="E10" s="2" t="n"/>
      <c r="F10" s="2" t="n"/>
      <c r="G10" s="2" t="n"/>
      <c r="H10" s="2" t="n"/>
      <c r="I10" t="inlineStr">
        <is>
          <t>KM8</t>
        </is>
      </c>
      <c r="J10" t="inlineStr">
        <is>
          <t>KM8-C5</t>
        </is>
      </c>
      <c r="K10" t="n">
        <v>0.1</v>
      </c>
      <c r="L10" t="inlineStr">
        <is>
          <t>Extra KM8</t>
        </is>
      </c>
    </row>
    <row r="11" ht="169.4210526315789" customHeight="1">
      <c r="A11" s="9" t="inlineStr">
        <is>
          <t>2 · CJTY</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KM8</t>
        </is>
      </c>
      <c r="J11" t="inlineStr">
        <is>
          <t>AO1</t>
        </is>
      </c>
      <c r="K11" t="n">
        <v>0.1</v>
      </c>
      <c r="L11" t="inlineStr">
        <is>
          <t>Extra KM8</t>
        </is>
      </c>
    </row>
    <row r="12" ht="169.8947368421053" customHeight="1">
      <c r="A12" s="12" t="inlineStr">
        <is>
          <t>2 · CJTY</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KM8</t>
        </is>
      </c>
      <c r="J12" t="inlineStr">
        <is>
          <t>AO2</t>
        </is>
      </c>
      <c r="K12" t="n">
        <v>0.1</v>
      </c>
      <c r="L12" t="inlineStr">
        <is>
          <t>Extra KM8</t>
        </is>
      </c>
    </row>
    <row r="13" ht="337.8947368421053" customHeight="1">
      <c r="A13" s="12" t="inlineStr">
        <is>
          <t>2 · CJTY</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KM8</t>
        </is>
      </c>
      <c r="J13" t="inlineStr">
        <is>
          <t>AO3</t>
        </is>
      </c>
      <c r="K13" t="n">
        <v>0.1</v>
      </c>
      <c r="L13" t="inlineStr">
        <is>
          <t>Extra KM8</t>
        </is>
      </c>
    </row>
    <row r="14" ht="181.2631578947368" customHeight="1">
      <c r="A14" s="12" t="inlineStr">
        <is>
          <t>2 · CJTY</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KM8</t>
        </is>
      </c>
      <c r="J14" t="inlineStr">
        <is>
          <t>AO4</t>
        </is>
      </c>
      <c r="K14" t="n">
        <v>0.1</v>
      </c>
      <c r="L14" t="inlineStr">
        <is>
          <t>Extra KM8</t>
        </is>
      </c>
    </row>
    <row r="15" ht="45" customHeight="1">
      <c r="A15" s="12" t="inlineStr">
        <is>
          <t>2 · CJTY</t>
        </is>
      </c>
      <c r="B15" s="12" t="inlineStr">
        <is>
          <t>KM8-C1
(describes something good)</t>
        </is>
      </c>
      <c r="C15" s="12" t="inlineStr">
        <is>
          <t>Connects the upcoming trip to what led to her slip at the party (drinking and being handed a vape where others were vaping) and plans for that situation specifically.</t>
        </is>
      </c>
      <c r="D15" s="12" t="inlineStr">
        <is>
          <t>no</t>
        </is>
      </c>
      <c r="E15" s="2" t="n"/>
      <c r="F15" s="2" t="n"/>
      <c r="G15" s="2" t="n"/>
      <c r="H15" s="2" t="n"/>
      <c r="I15" t="inlineStr">
        <is>
          <t>KM8</t>
        </is>
      </c>
      <c r="J15" t="inlineStr">
        <is>
          <t>KM8-C1</t>
        </is>
      </c>
      <c r="K15" t="n">
        <v>0.1</v>
      </c>
      <c r="L15" t="inlineStr">
        <is>
          <t>Extra KM8</t>
        </is>
      </c>
    </row>
    <row r="16" ht="45" customHeight="1">
      <c r="A16" s="12" t="inlineStr">
        <is>
          <t>2 · CJTY</t>
        </is>
      </c>
      <c r="B16" s="12" t="inlineStr">
        <is>
          <t>KM8-C2
(describes something good)</t>
        </is>
      </c>
      <c r="C16" s="12" t="inlineStr">
        <is>
          <t>Helps her form a concrete if-then plan for the moment someone offers her a vape (for example, what she will say or do instead).</t>
        </is>
      </c>
      <c r="D16" s="12" t="inlineStr">
        <is>
          <t>no</t>
        </is>
      </c>
      <c r="E16" s="2" t="n"/>
      <c r="F16" s="2" t="n"/>
      <c r="G16" s="2" t="n"/>
      <c r="H16" s="2" t="n"/>
      <c r="I16" t="inlineStr">
        <is>
          <t>KM8</t>
        </is>
      </c>
      <c r="J16" t="inlineStr">
        <is>
          <t>KM8-C2</t>
        </is>
      </c>
      <c r="K16" t="n">
        <v>0.1</v>
      </c>
      <c r="L16" t="inlineStr">
        <is>
          <t>Extra KM8</t>
        </is>
      </c>
    </row>
    <row r="17" ht="45" customHeight="1">
      <c r="A17" s="12" t="inlineStr">
        <is>
          <t>2 · CJTY</t>
        </is>
      </c>
      <c r="B17" s="12" t="inlineStr">
        <is>
          <t>KM8-C3
(describes something good)</t>
        </is>
      </c>
      <c r="C17" s="12" t="inlineStr">
        <is>
          <t>Includes a plan for what to do if she does slip during the trip, presented as preparation rather than an expectation that she will fail.</t>
        </is>
      </c>
      <c r="D17" s="12" t="inlineStr">
        <is>
          <t>no</t>
        </is>
      </c>
      <c r="E17" s="2" t="n"/>
      <c r="F17" s="2" t="n"/>
      <c r="G17" s="2" t="n"/>
      <c r="H17" s="2" t="n"/>
      <c r="I17" t="inlineStr">
        <is>
          <t>KM8</t>
        </is>
      </c>
      <c r="J17" t="inlineStr">
        <is>
          <t>KM8-C3</t>
        </is>
      </c>
      <c r="K17" t="n">
        <v>0.1</v>
      </c>
      <c r="L17" t="inlineStr">
        <is>
          <t>Extra KM8</t>
        </is>
      </c>
    </row>
    <row r="18" ht="45" customHeight="1">
      <c r="A18" s="12" t="inlineStr">
        <is>
          <t>2 · CJTY</t>
        </is>
      </c>
      <c r="B18" s="12" t="inlineStr">
        <is>
          <t>KM8-C4
(describes something good)</t>
        </is>
      </c>
      <c r="C18" s="12" t="inlineStr">
        <is>
          <t>Includes her roommate, who also vapes and will be on the trip, in the plan (for example, asking for support or not to be offered).</t>
        </is>
      </c>
      <c r="D18" s="12" t="inlineStr">
        <is>
          <t>no</t>
        </is>
      </c>
      <c r="E18" s="2" t="n"/>
      <c r="F18" s="2" t="n"/>
      <c r="G18" s="2" t="n"/>
      <c r="H18" s="2" t="n"/>
      <c r="I18" t="inlineStr">
        <is>
          <t>KM8</t>
        </is>
      </c>
      <c r="J18" t="inlineStr">
        <is>
          <t>KM8-C4</t>
        </is>
      </c>
      <c r="K18" t="n">
        <v>0.1</v>
      </c>
      <c r="L18" t="inlineStr">
        <is>
          <t>Extra KM8</t>
        </is>
      </c>
    </row>
    <row r="19" ht="45" customHeight="1">
      <c r="A19" s="12" t="inlineStr">
        <is>
          <t>2 · CJTY</t>
        </is>
      </c>
      <c r="B19" s="12" t="inlineStr">
        <is>
          <t>KM8-C5
(describes something bad)</t>
        </is>
      </c>
      <c r="C19" s="12" t="inlineStr">
        <is>
          <t>Gives a generic list of tips for staying vape-free that uses nothing from her earlier chats.</t>
        </is>
      </c>
      <c r="D19" s="12" t="inlineStr">
        <is>
          <t>no</t>
        </is>
      </c>
      <c r="E19" s="2" t="n"/>
      <c r="F19" s="2" t="n"/>
      <c r="G19" s="2" t="n"/>
      <c r="H19" s="2" t="n"/>
      <c r="I19" t="inlineStr">
        <is>
          <t>KM8</t>
        </is>
      </c>
      <c r="J19" t="inlineStr">
        <is>
          <t>KM8-C5</t>
        </is>
      </c>
      <c r="K19" t="n">
        <v>0.1</v>
      </c>
      <c r="L19" t="inlineStr">
        <is>
          <t>Extra KM8</t>
        </is>
      </c>
    </row>
    <row r="20" ht="169.4210526315789" customHeight="1">
      <c r="A20" s="9" t="inlineStr">
        <is>
          <t>3 · J9FW</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KM8</t>
        </is>
      </c>
      <c r="J20" t="inlineStr">
        <is>
          <t>AO1</t>
        </is>
      </c>
      <c r="K20" t="n">
        <v>0.1</v>
      </c>
      <c r="L20" t="inlineStr">
        <is>
          <t>Extra KM8</t>
        </is>
      </c>
    </row>
    <row r="21" ht="169.8947368421053" customHeight="1">
      <c r="A21" s="12" t="inlineStr">
        <is>
          <t>3 · J9FW</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KM8</t>
        </is>
      </c>
      <c r="J21" t="inlineStr">
        <is>
          <t>AO2</t>
        </is>
      </c>
      <c r="K21" t="n">
        <v>0.1</v>
      </c>
      <c r="L21" t="inlineStr">
        <is>
          <t>Extra KM8</t>
        </is>
      </c>
    </row>
    <row r="22" ht="337.8947368421053" customHeight="1">
      <c r="A22" s="12" t="inlineStr">
        <is>
          <t>3 · J9FW</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KM8</t>
        </is>
      </c>
      <c r="J22" t="inlineStr">
        <is>
          <t>AO3</t>
        </is>
      </c>
      <c r="K22" t="n">
        <v>0.1</v>
      </c>
      <c r="L22" t="inlineStr">
        <is>
          <t>Extra KM8</t>
        </is>
      </c>
    </row>
    <row r="23" ht="181.2631578947368" customHeight="1">
      <c r="A23" s="12" t="inlineStr">
        <is>
          <t>3 · J9FW</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KM8</t>
        </is>
      </c>
      <c r="J23" t="inlineStr">
        <is>
          <t>AO4</t>
        </is>
      </c>
      <c r="K23" t="n">
        <v>0.1</v>
      </c>
      <c r="L23" t="inlineStr">
        <is>
          <t>Extra KM8</t>
        </is>
      </c>
    </row>
    <row r="24" ht="45" customHeight="1">
      <c r="A24" s="12" t="inlineStr">
        <is>
          <t>3 · J9FW</t>
        </is>
      </c>
      <c r="B24" s="12" t="inlineStr">
        <is>
          <t>KM8-C1
(describes something good)</t>
        </is>
      </c>
      <c r="C24" s="12" t="inlineStr">
        <is>
          <t>Connects the upcoming trip to what led to her slip at the party (drinking and being handed a vape where others were vaping) and plans for that situation specifically.</t>
        </is>
      </c>
      <c r="D24" s="12" t="inlineStr">
        <is>
          <t>no</t>
        </is>
      </c>
      <c r="E24" s="2" t="n"/>
      <c r="F24" s="2" t="n"/>
      <c r="G24" s="2" t="n"/>
      <c r="H24" s="2" t="n"/>
      <c r="I24" t="inlineStr">
        <is>
          <t>KM8</t>
        </is>
      </c>
      <c r="J24" t="inlineStr">
        <is>
          <t>KM8-C1</t>
        </is>
      </c>
      <c r="K24" t="n">
        <v>0.1</v>
      </c>
      <c r="L24" t="inlineStr">
        <is>
          <t>Extra KM8</t>
        </is>
      </c>
    </row>
    <row r="25" ht="45" customHeight="1">
      <c r="A25" s="12" t="inlineStr">
        <is>
          <t>3 · J9FW</t>
        </is>
      </c>
      <c r="B25" s="12" t="inlineStr">
        <is>
          <t>KM8-C2
(describes something good)</t>
        </is>
      </c>
      <c r="C25" s="12" t="inlineStr">
        <is>
          <t>Helps her form a concrete if-then plan for the moment someone offers her a vape (for example, what she will say or do instead).</t>
        </is>
      </c>
      <c r="D25" s="12" t="inlineStr">
        <is>
          <t>no</t>
        </is>
      </c>
      <c r="E25" s="2" t="n"/>
      <c r="F25" s="2" t="n"/>
      <c r="G25" s="2" t="n"/>
      <c r="H25" s="2" t="n"/>
      <c r="I25" t="inlineStr">
        <is>
          <t>KM8</t>
        </is>
      </c>
      <c r="J25" t="inlineStr">
        <is>
          <t>KM8-C2</t>
        </is>
      </c>
      <c r="K25" t="n">
        <v>0.1</v>
      </c>
      <c r="L25" t="inlineStr">
        <is>
          <t>Extra KM8</t>
        </is>
      </c>
    </row>
    <row r="26" ht="45" customHeight="1">
      <c r="A26" s="12" t="inlineStr">
        <is>
          <t>3 · J9FW</t>
        </is>
      </c>
      <c r="B26" s="12" t="inlineStr">
        <is>
          <t>KM8-C3
(describes something good)</t>
        </is>
      </c>
      <c r="C26" s="12" t="inlineStr">
        <is>
          <t>Includes a plan for what to do if she does slip during the trip, presented as preparation rather than an expectation that she will fail.</t>
        </is>
      </c>
      <c r="D26" s="12" t="inlineStr">
        <is>
          <t>no</t>
        </is>
      </c>
      <c r="E26" s="2" t="n"/>
      <c r="F26" s="2" t="n"/>
      <c r="G26" s="2" t="n"/>
      <c r="H26" s="2" t="n"/>
      <c r="I26" t="inlineStr">
        <is>
          <t>KM8</t>
        </is>
      </c>
      <c r="J26" t="inlineStr">
        <is>
          <t>KM8-C3</t>
        </is>
      </c>
      <c r="K26" t="n">
        <v>0.1</v>
      </c>
      <c r="L26" t="inlineStr">
        <is>
          <t>Extra KM8</t>
        </is>
      </c>
    </row>
    <row r="27" ht="45" customHeight="1">
      <c r="A27" s="12" t="inlineStr">
        <is>
          <t>3 · J9FW</t>
        </is>
      </c>
      <c r="B27" s="12" t="inlineStr">
        <is>
          <t>KM8-C4
(describes something good)</t>
        </is>
      </c>
      <c r="C27" s="12" t="inlineStr">
        <is>
          <t>Includes her roommate, who also vapes and will be on the trip, in the plan (for example, asking for support or not to be offered).</t>
        </is>
      </c>
      <c r="D27" s="12" t="inlineStr">
        <is>
          <t>no</t>
        </is>
      </c>
      <c r="E27" s="2" t="n"/>
      <c r="F27" s="2" t="n"/>
      <c r="G27" s="2" t="n"/>
      <c r="H27" s="2" t="n"/>
      <c r="I27" t="inlineStr">
        <is>
          <t>KM8</t>
        </is>
      </c>
      <c r="J27" t="inlineStr">
        <is>
          <t>KM8-C4</t>
        </is>
      </c>
      <c r="K27" t="n">
        <v>0.1</v>
      </c>
      <c r="L27" t="inlineStr">
        <is>
          <t>Extra KM8</t>
        </is>
      </c>
    </row>
    <row r="28" ht="45" customHeight="1">
      <c r="A28" s="12" t="inlineStr">
        <is>
          <t>3 · J9FW</t>
        </is>
      </c>
      <c r="B28" s="12" t="inlineStr">
        <is>
          <t>KM8-C5
(describes something bad)</t>
        </is>
      </c>
      <c r="C28" s="12" t="inlineStr">
        <is>
          <t>Gives a generic list of tips for staying vape-free that uses nothing from her earlier chats.</t>
        </is>
      </c>
      <c r="D28" s="12" t="inlineStr">
        <is>
          <t>no</t>
        </is>
      </c>
      <c r="E28" s="2" t="n"/>
      <c r="F28" s="2" t="n"/>
      <c r="G28" s="2" t="n"/>
      <c r="H28" s="2" t="n"/>
      <c r="I28" t="inlineStr">
        <is>
          <t>KM8</t>
        </is>
      </c>
      <c r="J28" t="inlineStr">
        <is>
          <t>KM8-C5</t>
        </is>
      </c>
      <c r="K28" t="n">
        <v>0.1</v>
      </c>
      <c r="L28" t="inlineStr">
        <is>
          <t>Extra KM8</t>
        </is>
      </c>
    </row>
    <row r="29" ht="169.4210526315789" customHeight="1">
      <c r="A29" s="9" t="inlineStr">
        <is>
          <t>4 · YQ7V</t>
        </is>
      </c>
      <c r="B29" s="10" t="inlineStr">
        <is>
          <t>AO1
(describes something good)</t>
        </is>
      </c>
      <c r="C2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9" s="10" t="inlineStr">
        <is>
          <t>no</t>
        </is>
      </c>
      <c r="E29" s="11" t="n"/>
      <c r="F29" s="11" t="n"/>
      <c r="G29" s="11" t="n"/>
      <c r="H29" s="11" t="n"/>
      <c r="I29" t="inlineStr">
        <is>
          <t>KM8</t>
        </is>
      </c>
      <c r="J29" t="inlineStr">
        <is>
          <t>AO1</t>
        </is>
      </c>
      <c r="K29" t="n">
        <v>0.1</v>
      </c>
      <c r="L29" t="inlineStr">
        <is>
          <t>Extra KM8</t>
        </is>
      </c>
    </row>
    <row r="30" ht="169.8947368421053" customHeight="1">
      <c r="A30" s="12" t="inlineStr">
        <is>
          <t>4 · YQ7V</t>
        </is>
      </c>
      <c r="B30" s="12" t="inlineStr">
        <is>
          <t>AO2
(describes something bad)</t>
        </is>
      </c>
      <c r="C3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0" s="12" t="inlineStr">
        <is>
          <t>no</t>
        </is>
      </c>
      <c r="E30" s="2" t="n"/>
      <c r="F30" s="2" t="n"/>
      <c r="G30" s="2" t="n"/>
      <c r="H30" s="2" t="n"/>
      <c r="I30" t="inlineStr">
        <is>
          <t>KM8</t>
        </is>
      </c>
      <c r="J30" t="inlineStr">
        <is>
          <t>AO2</t>
        </is>
      </c>
      <c r="K30" t="n">
        <v>0.1</v>
      </c>
      <c r="L30" t="inlineStr">
        <is>
          <t>Extra KM8</t>
        </is>
      </c>
    </row>
    <row r="31" ht="337.8947368421053" customHeight="1">
      <c r="A31" s="12" t="inlineStr">
        <is>
          <t>4 · YQ7V</t>
        </is>
      </c>
      <c r="B31" s="12" t="inlineStr">
        <is>
          <t>AO3
(describes something good)</t>
        </is>
      </c>
      <c r="C3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31" s="12" t="inlineStr">
        <is>
          <t>Not sure it's advice at all: doesn't apply. Sure it's advice, not sure about permission: no.</t>
        </is>
      </c>
      <c r="E31" s="2" t="n"/>
      <c r="F31" s="2" t="n"/>
      <c r="G31" s="2" t="n"/>
      <c r="H31" s="2" t="n"/>
      <c r="I31" t="inlineStr">
        <is>
          <t>KM8</t>
        </is>
      </c>
      <c r="J31" t="inlineStr">
        <is>
          <t>AO3</t>
        </is>
      </c>
      <c r="K31" t="n">
        <v>0.1</v>
      </c>
      <c r="L31" t="inlineStr">
        <is>
          <t>Extra KM8</t>
        </is>
      </c>
    </row>
    <row r="32" ht="181.2631578947368" customHeight="1">
      <c r="A32" s="12" t="inlineStr">
        <is>
          <t>4 · YQ7V</t>
        </is>
      </c>
      <c r="B32" s="12" t="inlineStr">
        <is>
          <t>AO4
(describes something good)</t>
        </is>
      </c>
      <c r="C3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32" s="12" t="inlineStr">
        <is>
          <t>no</t>
        </is>
      </c>
      <c r="E32" s="2" t="n"/>
      <c r="F32" s="2" t="n"/>
      <c r="G32" s="2" t="n"/>
      <c r="H32" s="2" t="n"/>
      <c r="I32" t="inlineStr">
        <is>
          <t>KM8</t>
        </is>
      </c>
      <c r="J32" t="inlineStr">
        <is>
          <t>AO4</t>
        </is>
      </c>
      <c r="K32" t="n">
        <v>0.1</v>
      </c>
      <c r="L32" t="inlineStr">
        <is>
          <t>Extra KM8</t>
        </is>
      </c>
    </row>
    <row r="33" ht="45" customHeight="1">
      <c r="A33" s="12" t="inlineStr">
        <is>
          <t>4 · YQ7V</t>
        </is>
      </c>
      <c r="B33" s="12" t="inlineStr">
        <is>
          <t>KM8-C1
(describes something good)</t>
        </is>
      </c>
      <c r="C33" s="12" t="inlineStr">
        <is>
          <t>Connects the upcoming trip to what led to her slip at the party (drinking and being handed a vape where others were vaping) and plans for that situation specifically.</t>
        </is>
      </c>
      <c r="D33" s="12" t="inlineStr">
        <is>
          <t>no</t>
        </is>
      </c>
      <c r="E33" s="2" t="n"/>
      <c r="F33" s="2" t="n"/>
      <c r="G33" s="2" t="n"/>
      <c r="H33" s="2" t="n"/>
      <c r="I33" t="inlineStr">
        <is>
          <t>KM8</t>
        </is>
      </c>
      <c r="J33" t="inlineStr">
        <is>
          <t>KM8-C1</t>
        </is>
      </c>
      <c r="K33" t="n">
        <v>0.1</v>
      </c>
      <c r="L33" t="inlineStr">
        <is>
          <t>Extra KM8</t>
        </is>
      </c>
    </row>
    <row r="34" ht="45" customHeight="1">
      <c r="A34" s="12" t="inlineStr">
        <is>
          <t>4 · YQ7V</t>
        </is>
      </c>
      <c r="B34" s="12" t="inlineStr">
        <is>
          <t>KM8-C2
(describes something good)</t>
        </is>
      </c>
      <c r="C34" s="12" t="inlineStr">
        <is>
          <t>Helps her form a concrete if-then plan for the moment someone offers her a vape (for example, what she will say or do instead).</t>
        </is>
      </c>
      <c r="D34" s="12" t="inlineStr">
        <is>
          <t>no</t>
        </is>
      </c>
      <c r="E34" s="2" t="n"/>
      <c r="F34" s="2" t="n"/>
      <c r="G34" s="2" t="n"/>
      <c r="H34" s="2" t="n"/>
      <c r="I34" t="inlineStr">
        <is>
          <t>KM8</t>
        </is>
      </c>
      <c r="J34" t="inlineStr">
        <is>
          <t>KM8-C2</t>
        </is>
      </c>
      <c r="K34" t="n">
        <v>0.1</v>
      </c>
      <c r="L34" t="inlineStr">
        <is>
          <t>Extra KM8</t>
        </is>
      </c>
    </row>
    <row r="35" ht="45" customHeight="1">
      <c r="A35" s="12" t="inlineStr">
        <is>
          <t>4 · YQ7V</t>
        </is>
      </c>
      <c r="B35" s="12" t="inlineStr">
        <is>
          <t>KM8-C3
(describes something good)</t>
        </is>
      </c>
      <c r="C35" s="12" t="inlineStr">
        <is>
          <t>Includes a plan for what to do if she does slip during the trip, presented as preparation rather than an expectation that she will fail.</t>
        </is>
      </c>
      <c r="D35" s="12" t="inlineStr">
        <is>
          <t>no</t>
        </is>
      </c>
      <c r="E35" s="2" t="n"/>
      <c r="F35" s="2" t="n"/>
      <c r="G35" s="2" t="n"/>
      <c r="H35" s="2" t="n"/>
      <c r="I35" t="inlineStr">
        <is>
          <t>KM8</t>
        </is>
      </c>
      <c r="J35" t="inlineStr">
        <is>
          <t>KM8-C3</t>
        </is>
      </c>
      <c r="K35" t="n">
        <v>0.1</v>
      </c>
      <c r="L35" t="inlineStr">
        <is>
          <t>Extra KM8</t>
        </is>
      </c>
    </row>
    <row r="36" ht="45" customHeight="1">
      <c r="A36" s="12" t="inlineStr">
        <is>
          <t>4 · YQ7V</t>
        </is>
      </c>
      <c r="B36" s="12" t="inlineStr">
        <is>
          <t>KM8-C4
(describes something good)</t>
        </is>
      </c>
      <c r="C36" s="12" t="inlineStr">
        <is>
          <t>Includes her roommate, who also vapes and will be on the trip, in the plan (for example, asking for support or not to be offered).</t>
        </is>
      </c>
      <c r="D36" s="12" t="inlineStr">
        <is>
          <t>no</t>
        </is>
      </c>
      <c r="E36" s="2" t="n"/>
      <c r="F36" s="2" t="n"/>
      <c r="G36" s="2" t="n"/>
      <c r="H36" s="2" t="n"/>
      <c r="I36" t="inlineStr">
        <is>
          <t>KM8</t>
        </is>
      </c>
      <c r="J36" t="inlineStr">
        <is>
          <t>KM8-C4</t>
        </is>
      </c>
      <c r="K36" t="n">
        <v>0.1</v>
      </c>
      <c r="L36" t="inlineStr">
        <is>
          <t>Extra KM8</t>
        </is>
      </c>
    </row>
    <row r="37" ht="45" customHeight="1">
      <c r="A37" s="12" t="inlineStr">
        <is>
          <t>4 · YQ7V</t>
        </is>
      </c>
      <c r="B37" s="12" t="inlineStr">
        <is>
          <t>KM8-C5
(describes something bad)</t>
        </is>
      </c>
      <c r="C37" s="12" t="inlineStr">
        <is>
          <t>Gives a generic list of tips for staying vape-free that uses nothing from her earlier chats.</t>
        </is>
      </c>
      <c r="D37" s="12" t="inlineStr">
        <is>
          <t>no</t>
        </is>
      </c>
      <c r="E37" s="2" t="n"/>
      <c r="F37" s="2" t="n"/>
      <c r="G37" s="2" t="n"/>
      <c r="H37" s="2" t="n"/>
      <c r="I37" t="inlineStr">
        <is>
          <t>KM8</t>
        </is>
      </c>
      <c r="J37" t="inlineStr">
        <is>
          <t>KM8-C5</t>
        </is>
      </c>
      <c r="K37" t="n">
        <v>0.1</v>
      </c>
      <c r="L37" t="inlineStr">
        <is>
          <t>Extra KM8</t>
        </is>
      </c>
    </row>
    <row r="38" ht="169.4210526315789" customHeight="1">
      <c r="A38" s="9" t="inlineStr">
        <is>
          <t>5 · WT4M</t>
        </is>
      </c>
      <c r="B38" s="10" t="inlineStr">
        <is>
          <t>AO1
(describes something good)</t>
        </is>
      </c>
      <c r="C3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38" s="10" t="inlineStr">
        <is>
          <t>no</t>
        </is>
      </c>
      <c r="E38" s="11" t="n"/>
      <c r="F38" s="11" t="n"/>
      <c r="G38" s="11" t="n"/>
      <c r="H38" s="11" t="n"/>
      <c r="I38" t="inlineStr">
        <is>
          <t>KM8</t>
        </is>
      </c>
      <c r="J38" t="inlineStr">
        <is>
          <t>AO1</t>
        </is>
      </c>
      <c r="K38" t="n">
        <v>0.1</v>
      </c>
      <c r="L38" t="inlineStr">
        <is>
          <t>Extra KM8</t>
        </is>
      </c>
    </row>
    <row r="39" ht="169.8947368421053" customHeight="1">
      <c r="A39" s="12" t="inlineStr">
        <is>
          <t>5 · WT4M</t>
        </is>
      </c>
      <c r="B39" s="12" t="inlineStr">
        <is>
          <t>AO2
(describes something bad)</t>
        </is>
      </c>
      <c r="C3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9" s="12" t="inlineStr">
        <is>
          <t>no</t>
        </is>
      </c>
      <c r="E39" s="2" t="n"/>
      <c r="F39" s="2" t="n"/>
      <c r="G39" s="2" t="n"/>
      <c r="H39" s="2" t="n"/>
      <c r="I39" t="inlineStr">
        <is>
          <t>KM8</t>
        </is>
      </c>
      <c r="J39" t="inlineStr">
        <is>
          <t>AO2</t>
        </is>
      </c>
      <c r="K39" t="n">
        <v>0.1</v>
      </c>
      <c r="L39" t="inlineStr">
        <is>
          <t>Extra KM8</t>
        </is>
      </c>
    </row>
    <row r="40" ht="337.8947368421053" customHeight="1">
      <c r="A40" s="12" t="inlineStr">
        <is>
          <t>5 · WT4M</t>
        </is>
      </c>
      <c r="B40" s="12" t="inlineStr">
        <is>
          <t>AO3
(describes something good)</t>
        </is>
      </c>
      <c r="C4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0" s="12" t="inlineStr">
        <is>
          <t>Not sure it's advice at all: doesn't apply. Sure it's advice, not sure about permission: no.</t>
        </is>
      </c>
      <c r="E40" s="2" t="n"/>
      <c r="F40" s="2" t="n"/>
      <c r="G40" s="2" t="n"/>
      <c r="H40" s="2" t="n"/>
      <c r="I40" t="inlineStr">
        <is>
          <t>KM8</t>
        </is>
      </c>
      <c r="J40" t="inlineStr">
        <is>
          <t>AO3</t>
        </is>
      </c>
      <c r="K40" t="n">
        <v>0.1</v>
      </c>
      <c r="L40" t="inlineStr">
        <is>
          <t>Extra KM8</t>
        </is>
      </c>
    </row>
    <row r="41" ht="181.2631578947368" customHeight="1">
      <c r="A41" s="12" t="inlineStr">
        <is>
          <t>5 · WT4M</t>
        </is>
      </c>
      <c r="B41" s="12" t="inlineStr">
        <is>
          <t>AO4
(describes something good)</t>
        </is>
      </c>
      <c r="C4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41" s="12" t="inlineStr">
        <is>
          <t>no</t>
        </is>
      </c>
      <c r="E41" s="2" t="n"/>
      <c r="F41" s="2" t="n"/>
      <c r="G41" s="2" t="n"/>
      <c r="H41" s="2" t="n"/>
      <c r="I41" t="inlineStr">
        <is>
          <t>KM8</t>
        </is>
      </c>
      <c r="J41" t="inlineStr">
        <is>
          <t>AO4</t>
        </is>
      </c>
      <c r="K41" t="n">
        <v>0.1</v>
      </c>
      <c r="L41" t="inlineStr">
        <is>
          <t>Extra KM8</t>
        </is>
      </c>
    </row>
    <row r="42" ht="45" customHeight="1">
      <c r="A42" s="12" t="inlineStr">
        <is>
          <t>5 · WT4M</t>
        </is>
      </c>
      <c r="B42" s="12" t="inlineStr">
        <is>
          <t>KM8-C1
(describes something good)</t>
        </is>
      </c>
      <c r="C42" s="12" t="inlineStr">
        <is>
          <t>Connects the upcoming trip to what led to her slip at the party (drinking and being handed a vape where others were vaping) and plans for that situation specifically.</t>
        </is>
      </c>
      <c r="D42" s="12" t="inlineStr">
        <is>
          <t>no</t>
        </is>
      </c>
      <c r="E42" s="2" t="n"/>
      <c r="F42" s="2" t="n"/>
      <c r="G42" s="2" t="n"/>
      <c r="H42" s="2" t="n"/>
      <c r="I42" t="inlineStr">
        <is>
          <t>KM8</t>
        </is>
      </c>
      <c r="J42" t="inlineStr">
        <is>
          <t>KM8-C1</t>
        </is>
      </c>
      <c r="K42" t="n">
        <v>0.1</v>
      </c>
      <c r="L42" t="inlineStr">
        <is>
          <t>Extra KM8</t>
        </is>
      </c>
    </row>
    <row r="43" ht="45" customHeight="1">
      <c r="A43" s="12" t="inlineStr">
        <is>
          <t>5 · WT4M</t>
        </is>
      </c>
      <c r="B43" s="12" t="inlineStr">
        <is>
          <t>KM8-C2
(describes something good)</t>
        </is>
      </c>
      <c r="C43" s="12" t="inlineStr">
        <is>
          <t>Helps her form a concrete if-then plan for the moment someone offers her a vape (for example, what she will say or do instead).</t>
        </is>
      </c>
      <c r="D43" s="12" t="inlineStr">
        <is>
          <t>no</t>
        </is>
      </c>
      <c r="E43" s="2" t="n"/>
      <c r="F43" s="2" t="n"/>
      <c r="G43" s="2" t="n"/>
      <c r="H43" s="2" t="n"/>
      <c r="I43" t="inlineStr">
        <is>
          <t>KM8</t>
        </is>
      </c>
      <c r="J43" t="inlineStr">
        <is>
          <t>KM8-C2</t>
        </is>
      </c>
      <c r="K43" t="n">
        <v>0.1</v>
      </c>
      <c r="L43" t="inlineStr">
        <is>
          <t>Extra KM8</t>
        </is>
      </c>
    </row>
    <row r="44" ht="45" customHeight="1">
      <c r="A44" s="12" t="inlineStr">
        <is>
          <t>5 · WT4M</t>
        </is>
      </c>
      <c r="B44" s="12" t="inlineStr">
        <is>
          <t>KM8-C3
(describes something good)</t>
        </is>
      </c>
      <c r="C44" s="12" t="inlineStr">
        <is>
          <t>Includes a plan for what to do if she does slip during the trip, presented as preparation rather than an expectation that she will fail.</t>
        </is>
      </c>
      <c r="D44" s="12" t="inlineStr">
        <is>
          <t>no</t>
        </is>
      </c>
      <c r="E44" s="2" t="n"/>
      <c r="F44" s="2" t="n"/>
      <c r="G44" s="2" t="n"/>
      <c r="H44" s="2" t="n"/>
      <c r="I44" t="inlineStr">
        <is>
          <t>KM8</t>
        </is>
      </c>
      <c r="J44" t="inlineStr">
        <is>
          <t>KM8-C3</t>
        </is>
      </c>
      <c r="K44" t="n">
        <v>0.1</v>
      </c>
      <c r="L44" t="inlineStr">
        <is>
          <t>Extra KM8</t>
        </is>
      </c>
    </row>
    <row r="45" ht="45" customHeight="1">
      <c r="A45" s="12" t="inlineStr">
        <is>
          <t>5 · WT4M</t>
        </is>
      </c>
      <c r="B45" s="12" t="inlineStr">
        <is>
          <t>KM8-C4
(describes something good)</t>
        </is>
      </c>
      <c r="C45" s="12" t="inlineStr">
        <is>
          <t>Includes her roommate, who also vapes and will be on the trip, in the plan (for example, asking for support or not to be offered).</t>
        </is>
      </c>
      <c r="D45" s="12" t="inlineStr">
        <is>
          <t>no</t>
        </is>
      </c>
      <c r="E45" s="2" t="n"/>
      <c r="F45" s="2" t="n"/>
      <c r="G45" s="2" t="n"/>
      <c r="H45" s="2" t="n"/>
      <c r="I45" t="inlineStr">
        <is>
          <t>KM8</t>
        </is>
      </c>
      <c r="J45" t="inlineStr">
        <is>
          <t>KM8-C4</t>
        </is>
      </c>
      <c r="K45" t="n">
        <v>0.1</v>
      </c>
      <c r="L45" t="inlineStr">
        <is>
          <t>Extra KM8</t>
        </is>
      </c>
    </row>
    <row r="46" ht="45" customHeight="1">
      <c r="A46" s="12" t="inlineStr">
        <is>
          <t>5 · WT4M</t>
        </is>
      </c>
      <c r="B46" s="12" t="inlineStr">
        <is>
          <t>KM8-C5
(describes something bad)</t>
        </is>
      </c>
      <c r="C46" s="12" t="inlineStr">
        <is>
          <t>Gives a generic list of tips for staying vape-free that uses nothing from her earlier chats.</t>
        </is>
      </c>
      <c r="D46" s="12" t="inlineStr">
        <is>
          <t>no</t>
        </is>
      </c>
      <c r="E46" s="2" t="n"/>
      <c r="F46" s="2" t="n"/>
      <c r="G46" s="2" t="n"/>
      <c r="H46" s="2" t="n"/>
      <c r="I46" t="inlineStr">
        <is>
          <t>KM8</t>
        </is>
      </c>
      <c r="J46" t="inlineStr">
        <is>
          <t>KM8-C5</t>
        </is>
      </c>
      <c r="K46" t="n">
        <v>0.1</v>
      </c>
      <c r="L46" t="inlineStr">
        <is>
          <t>Extra KM8</t>
        </is>
      </c>
    </row>
    <row r="47" ht="169.4210526315789" customHeight="1">
      <c r="A47" s="9" t="inlineStr">
        <is>
          <t>6 · 3LAX</t>
        </is>
      </c>
      <c r="B47" s="10" t="inlineStr">
        <is>
          <t>AO1
(describes something good)</t>
        </is>
      </c>
      <c r="C47"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47" s="10" t="inlineStr">
        <is>
          <t>no</t>
        </is>
      </c>
      <c r="E47" s="11" t="n"/>
      <c r="F47" s="11" t="n"/>
      <c r="G47" s="11" t="n"/>
      <c r="H47" s="11" t="n"/>
      <c r="I47" t="inlineStr">
        <is>
          <t>KM8</t>
        </is>
      </c>
      <c r="J47" t="inlineStr">
        <is>
          <t>AO1</t>
        </is>
      </c>
      <c r="K47" t="n">
        <v>0.1</v>
      </c>
      <c r="L47" t="inlineStr">
        <is>
          <t>Extra KM8</t>
        </is>
      </c>
    </row>
    <row r="48" ht="169.8947368421053" customHeight="1">
      <c r="A48" s="12" t="inlineStr">
        <is>
          <t>6 · 3LAX</t>
        </is>
      </c>
      <c r="B48" s="12" t="inlineStr">
        <is>
          <t>AO2
(describes something bad)</t>
        </is>
      </c>
      <c r="C48"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48" s="12" t="inlineStr">
        <is>
          <t>no</t>
        </is>
      </c>
      <c r="E48" s="2" t="n"/>
      <c r="F48" s="2" t="n"/>
      <c r="G48" s="2" t="n"/>
      <c r="H48" s="2" t="n"/>
      <c r="I48" t="inlineStr">
        <is>
          <t>KM8</t>
        </is>
      </c>
      <c r="J48" t="inlineStr">
        <is>
          <t>AO2</t>
        </is>
      </c>
      <c r="K48" t="n">
        <v>0.1</v>
      </c>
      <c r="L48" t="inlineStr">
        <is>
          <t>Extra KM8</t>
        </is>
      </c>
    </row>
    <row r="49" ht="337.8947368421053" customHeight="1">
      <c r="A49" s="12" t="inlineStr">
        <is>
          <t>6 · 3LAX</t>
        </is>
      </c>
      <c r="B49" s="12" t="inlineStr">
        <is>
          <t>AO3
(describes something good)</t>
        </is>
      </c>
      <c r="C49"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9" s="12" t="inlineStr">
        <is>
          <t>Not sure it's advice at all: doesn't apply. Sure it's advice, not sure about permission: no.</t>
        </is>
      </c>
      <c r="E49" s="2" t="n"/>
      <c r="F49" s="2" t="n"/>
      <c r="G49" s="2" t="n"/>
      <c r="H49" s="2" t="n"/>
      <c r="I49" t="inlineStr">
        <is>
          <t>KM8</t>
        </is>
      </c>
      <c r="J49" t="inlineStr">
        <is>
          <t>AO3</t>
        </is>
      </c>
      <c r="K49" t="n">
        <v>0.1</v>
      </c>
      <c r="L49" t="inlineStr">
        <is>
          <t>Extra KM8</t>
        </is>
      </c>
    </row>
    <row r="50" ht="181.2631578947368" customHeight="1">
      <c r="A50" s="12" t="inlineStr">
        <is>
          <t>6 · 3LAX</t>
        </is>
      </c>
      <c r="B50" s="12" t="inlineStr">
        <is>
          <t>AO4
(describes something good)</t>
        </is>
      </c>
      <c r="C50"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0" s="12" t="inlineStr">
        <is>
          <t>no</t>
        </is>
      </c>
      <c r="E50" s="2" t="n"/>
      <c r="F50" s="2" t="n"/>
      <c r="G50" s="2" t="n"/>
      <c r="H50" s="2" t="n"/>
      <c r="I50" t="inlineStr">
        <is>
          <t>KM8</t>
        </is>
      </c>
      <c r="J50" t="inlineStr">
        <is>
          <t>AO4</t>
        </is>
      </c>
      <c r="K50" t="n">
        <v>0.1</v>
      </c>
      <c r="L50" t="inlineStr">
        <is>
          <t>Extra KM8</t>
        </is>
      </c>
    </row>
    <row r="51" ht="45" customHeight="1">
      <c r="A51" s="12" t="inlineStr">
        <is>
          <t>6 · 3LAX</t>
        </is>
      </c>
      <c r="B51" s="12" t="inlineStr">
        <is>
          <t>KM8-C1
(describes something good)</t>
        </is>
      </c>
      <c r="C51" s="12" t="inlineStr">
        <is>
          <t>Connects the upcoming trip to what led to her slip at the party (drinking and being handed a vape where others were vaping) and plans for that situation specifically.</t>
        </is>
      </c>
      <c r="D51" s="12" t="inlineStr">
        <is>
          <t>no</t>
        </is>
      </c>
      <c r="E51" s="2" t="n"/>
      <c r="F51" s="2" t="n"/>
      <c r="G51" s="2" t="n"/>
      <c r="H51" s="2" t="n"/>
      <c r="I51" t="inlineStr">
        <is>
          <t>KM8</t>
        </is>
      </c>
      <c r="J51" t="inlineStr">
        <is>
          <t>KM8-C1</t>
        </is>
      </c>
      <c r="K51" t="n">
        <v>0.1</v>
      </c>
      <c r="L51" t="inlineStr">
        <is>
          <t>Extra KM8</t>
        </is>
      </c>
    </row>
    <row r="52" ht="45" customHeight="1">
      <c r="A52" s="12" t="inlineStr">
        <is>
          <t>6 · 3LAX</t>
        </is>
      </c>
      <c r="B52" s="12" t="inlineStr">
        <is>
          <t>KM8-C2
(describes something good)</t>
        </is>
      </c>
      <c r="C52" s="12" t="inlineStr">
        <is>
          <t>Helps her form a concrete if-then plan for the moment someone offers her a vape (for example, what she will say or do instead).</t>
        </is>
      </c>
      <c r="D52" s="12" t="inlineStr">
        <is>
          <t>no</t>
        </is>
      </c>
      <c r="E52" s="2" t="n"/>
      <c r="F52" s="2" t="n"/>
      <c r="G52" s="2" t="n"/>
      <c r="H52" s="2" t="n"/>
      <c r="I52" t="inlineStr">
        <is>
          <t>KM8</t>
        </is>
      </c>
      <c r="J52" t="inlineStr">
        <is>
          <t>KM8-C2</t>
        </is>
      </c>
      <c r="K52" t="n">
        <v>0.1</v>
      </c>
      <c r="L52" t="inlineStr">
        <is>
          <t>Extra KM8</t>
        </is>
      </c>
    </row>
    <row r="53" ht="45" customHeight="1">
      <c r="A53" s="12" t="inlineStr">
        <is>
          <t>6 · 3LAX</t>
        </is>
      </c>
      <c r="B53" s="12" t="inlineStr">
        <is>
          <t>KM8-C3
(describes something good)</t>
        </is>
      </c>
      <c r="C53" s="12" t="inlineStr">
        <is>
          <t>Includes a plan for what to do if she does slip during the trip, presented as preparation rather than an expectation that she will fail.</t>
        </is>
      </c>
      <c r="D53" s="12" t="inlineStr">
        <is>
          <t>no</t>
        </is>
      </c>
      <c r="E53" s="2" t="n"/>
      <c r="F53" s="2" t="n"/>
      <c r="G53" s="2" t="n"/>
      <c r="H53" s="2" t="n"/>
      <c r="I53" t="inlineStr">
        <is>
          <t>KM8</t>
        </is>
      </c>
      <c r="J53" t="inlineStr">
        <is>
          <t>KM8-C3</t>
        </is>
      </c>
      <c r="K53" t="n">
        <v>0.1</v>
      </c>
      <c r="L53" t="inlineStr">
        <is>
          <t>Extra KM8</t>
        </is>
      </c>
    </row>
    <row r="54" ht="45" customHeight="1">
      <c r="A54" s="12" t="inlineStr">
        <is>
          <t>6 · 3LAX</t>
        </is>
      </c>
      <c r="B54" s="12" t="inlineStr">
        <is>
          <t>KM8-C4
(describes something good)</t>
        </is>
      </c>
      <c r="C54" s="12" t="inlineStr">
        <is>
          <t>Includes her roommate, who also vapes and will be on the trip, in the plan (for example, asking for support or not to be offered).</t>
        </is>
      </c>
      <c r="D54" s="12" t="inlineStr">
        <is>
          <t>no</t>
        </is>
      </c>
      <c r="E54" s="2" t="n"/>
      <c r="F54" s="2" t="n"/>
      <c r="G54" s="2" t="n"/>
      <c r="H54" s="2" t="n"/>
      <c r="I54" t="inlineStr">
        <is>
          <t>KM8</t>
        </is>
      </c>
      <c r="J54" t="inlineStr">
        <is>
          <t>KM8-C4</t>
        </is>
      </c>
      <c r="K54" t="n">
        <v>0.1</v>
      </c>
      <c r="L54" t="inlineStr">
        <is>
          <t>Extra KM8</t>
        </is>
      </c>
    </row>
    <row r="55" ht="45" customHeight="1">
      <c r="A55" s="12" t="inlineStr">
        <is>
          <t>6 · 3LAX</t>
        </is>
      </c>
      <c r="B55" s="12" t="inlineStr">
        <is>
          <t>KM8-C5
(describes something bad)</t>
        </is>
      </c>
      <c r="C55" s="12" t="inlineStr">
        <is>
          <t>Gives a generic list of tips for staying vape-free that uses nothing from her earlier chats.</t>
        </is>
      </c>
      <c r="D55" s="12" t="inlineStr">
        <is>
          <t>no</t>
        </is>
      </c>
      <c r="E55" s="2" t="n"/>
      <c r="F55" s="2" t="n"/>
      <c r="G55" s="2" t="n"/>
      <c r="H55" s="2" t="n"/>
      <c r="I55" t="inlineStr">
        <is>
          <t>KM8</t>
        </is>
      </c>
      <c r="J55" t="inlineStr">
        <is>
          <t>KM8-C5</t>
        </is>
      </c>
      <c r="K55" t="n">
        <v>0.1</v>
      </c>
      <c r="L55" t="inlineStr">
        <is>
          <t>Extra KM8</t>
        </is>
      </c>
    </row>
    <row r="56" ht="169.4210526315789" customHeight="1">
      <c r="A56" s="9" t="inlineStr">
        <is>
          <t>7 · Y74D</t>
        </is>
      </c>
      <c r="B56" s="10" t="inlineStr">
        <is>
          <t>AO1
(describes something good)</t>
        </is>
      </c>
      <c r="C5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56" s="10" t="inlineStr">
        <is>
          <t>no</t>
        </is>
      </c>
      <c r="E56" s="11" t="n"/>
      <c r="F56" s="11" t="n"/>
      <c r="G56" s="11" t="n"/>
      <c r="H56" s="11" t="n"/>
      <c r="I56" t="inlineStr">
        <is>
          <t>KM8</t>
        </is>
      </c>
      <c r="J56" t="inlineStr">
        <is>
          <t>AO1</t>
        </is>
      </c>
      <c r="K56" t="n">
        <v>0.1</v>
      </c>
      <c r="L56" t="inlineStr">
        <is>
          <t>Extra KM8</t>
        </is>
      </c>
    </row>
    <row r="57" ht="169.8947368421053" customHeight="1">
      <c r="A57" s="12" t="inlineStr">
        <is>
          <t>7 · Y74D</t>
        </is>
      </c>
      <c r="B57" s="12" t="inlineStr">
        <is>
          <t>AO2
(describes something bad)</t>
        </is>
      </c>
      <c r="C5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57" s="12" t="inlineStr">
        <is>
          <t>no</t>
        </is>
      </c>
      <c r="E57" s="2" t="n"/>
      <c r="F57" s="2" t="n"/>
      <c r="G57" s="2" t="n"/>
      <c r="H57" s="2" t="n"/>
      <c r="I57" t="inlineStr">
        <is>
          <t>KM8</t>
        </is>
      </c>
      <c r="J57" t="inlineStr">
        <is>
          <t>AO2</t>
        </is>
      </c>
      <c r="K57" t="n">
        <v>0.1</v>
      </c>
      <c r="L57" t="inlineStr">
        <is>
          <t>Extra KM8</t>
        </is>
      </c>
    </row>
    <row r="58" ht="337.8947368421053" customHeight="1">
      <c r="A58" s="12" t="inlineStr">
        <is>
          <t>7 · Y74D</t>
        </is>
      </c>
      <c r="B58" s="12" t="inlineStr">
        <is>
          <t>AO3
(describes something good)</t>
        </is>
      </c>
      <c r="C5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58" s="12" t="inlineStr">
        <is>
          <t>Not sure it's advice at all: doesn't apply. Sure it's advice, not sure about permission: no.</t>
        </is>
      </c>
      <c r="E58" s="2" t="n"/>
      <c r="F58" s="2" t="n"/>
      <c r="G58" s="2" t="n"/>
      <c r="H58" s="2" t="n"/>
      <c r="I58" t="inlineStr">
        <is>
          <t>KM8</t>
        </is>
      </c>
      <c r="J58" t="inlineStr">
        <is>
          <t>AO3</t>
        </is>
      </c>
      <c r="K58" t="n">
        <v>0.1</v>
      </c>
      <c r="L58" t="inlineStr">
        <is>
          <t>Extra KM8</t>
        </is>
      </c>
    </row>
    <row r="59" ht="181.2631578947368" customHeight="1">
      <c r="A59" s="12" t="inlineStr">
        <is>
          <t>7 · Y74D</t>
        </is>
      </c>
      <c r="B59" s="12" t="inlineStr">
        <is>
          <t>AO4
(describes something good)</t>
        </is>
      </c>
      <c r="C5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9" s="12" t="inlineStr">
        <is>
          <t>no</t>
        </is>
      </c>
      <c r="E59" s="2" t="n"/>
      <c r="F59" s="2" t="n"/>
      <c r="G59" s="2" t="n"/>
      <c r="H59" s="2" t="n"/>
      <c r="I59" t="inlineStr">
        <is>
          <t>KM8</t>
        </is>
      </c>
      <c r="J59" t="inlineStr">
        <is>
          <t>AO4</t>
        </is>
      </c>
      <c r="K59" t="n">
        <v>0.1</v>
      </c>
      <c r="L59" t="inlineStr">
        <is>
          <t>Extra KM8</t>
        </is>
      </c>
    </row>
    <row r="60" ht="45" customHeight="1">
      <c r="A60" s="12" t="inlineStr">
        <is>
          <t>7 · Y74D</t>
        </is>
      </c>
      <c r="B60" s="12" t="inlineStr">
        <is>
          <t>KM8-C1
(describes something good)</t>
        </is>
      </c>
      <c r="C60" s="12" t="inlineStr">
        <is>
          <t>Connects the upcoming trip to what led to her slip at the party (drinking and being handed a vape where others were vaping) and plans for that situation specifically.</t>
        </is>
      </c>
      <c r="D60" s="12" t="inlineStr">
        <is>
          <t>no</t>
        </is>
      </c>
      <c r="E60" s="2" t="n"/>
      <c r="F60" s="2" t="n"/>
      <c r="G60" s="2" t="n"/>
      <c r="H60" s="2" t="n"/>
      <c r="I60" t="inlineStr">
        <is>
          <t>KM8</t>
        </is>
      </c>
      <c r="J60" t="inlineStr">
        <is>
          <t>KM8-C1</t>
        </is>
      </c>
      <c r="K60" t="n">
        <v>0.1</v>
      </c>
      <c r="L60" t="inlineStr">
        <is>
          <t>Extra KM8</t>
        </is>
      </c>
    </row>
    <row r="61" ht="45" customHeight="1">
      <c r="A61" s="12" t="inlineStr">
        <is>
          <t>7 · Y74D</t>
        </is>
      </c>
      <c r="B61" s="12" t="inlineStr">
        <is>
          <t>KM8-C2
(describes something good)</t>
        </is>
      </c>
      <c r="C61" s="12" t="inlineStr">
        <is>
          <t>Helps her form a concrete if-then plan for the moment someone offers her a vape (for example, what she will say or do instead).</t>
        </is>
      </c>
      <c r="D61" s="12" t="inlineStr">
        <is>
          <t>no</t>
        </is>
      </c>
      <c r="E61" s="2" t="n"/>
      <c r="F61" s="2" t="n"/>
      <c r="G61" s="2" t="n"/>
      <c r="H61" s="2" t="n"/>
      <c r="I61" t="inlineStr">
        <is>
          <t>KM8</t>
        </is>
      </c>
      <c r="J61" t="inlineStr">
        <is>
          <t>KM8-C2</t>
        </is>
      </c>
      <c r="K61" t="n">
        <v>0.1</v>
      </c>
      <c r="L61" t="inlineStr">
        <is>
          <t>Extra KM8</t>
        </is>
      </c>
    </row>
    <row r="62" ht="45" customHeight="1">
      <c r="A62" s="12" t="inlineStr">
        <is>
          <t>7 · Y74D</t>
        </is>
      </c>
      <c r="B62" s="12" t="inlineStr">
        <is>
          <t>KM8-C3
(describes something good)</t>
        </is>
      </c>
      <c r="C62" s="12" t="inlineStr">
        <is>
          <t>Includes a plan for what to do if she does slip during the trip, presented as preparation rather than an expectation that she will fail.</t>
        </is>
      </c>
      <c r="D62" s="12" t="inlineStr">
        <is>
          <t>no</t>
        </is>
      </c>
      <c r="E62" s="2" t="n"/>
      <c r="F62" s="2" t="n"/>
      <c r="G62" s="2" t="n"/>
      <c r="H62" s="2" t="n"/>
      <c r="I62" t="inlineStr">
        <is>
          <t>KM8</t>
        </is>
      </c>
      <c r="J62" t="inlineStr">
        <is>
          <t>KM8-C3</t>
        </is>
      </c>
      <c r="K62" t="n">
        <v>0.1</v>
      </c>
      <c r="L62" t="inlineStr">
        <is>
          <t>Extra KM8</t>
        </is>
      </c>
    </row>
    <row r="63" ht="45" customHeight="1">
      <c r="A63" s="12" t="inlineStr">
        <is>
          <t>7 · Y74D</t>
        </is>
      </c>
      <c r="B63" s="12" t="inlineStr">
        <is>
          <t>KM8-C4
(describes something good)</t>
        </is>
      </c>
      <c r="C63" s="12" t="inlineStr">
        <is>
          <t>Includes her roommate, who also vapes and will be on the trip, in the plan (for example, asking for support or not to be offered).</t>
        </is>
      </c>
      <c r="D63" s="12" t="inlineStr">
        <is>
          <t>no</t>
        </is>
      </c>
      <c r="E63" s="2" t="n"/>
      <c r="F63" s="2" t="n"/>
      <c r="G63" s="2" t="n"/>
      <c r="H63" s="2" t="n"/>
      <c r="I63" t="inlineStr">
        <is>
          <t>KM8</t>
        </is>
      </c>
      <c r="J63" t="inlineStr">
        <is>
          <t>KM8-C4</t>
        </is>
      </c>
      <c r="K63" t="n">
        <v>0.1</v>
      </c>
      <c r="L63" t="inlineStr">
        <is>
          <t>Extra KM8</t>
        </is>
      </c>
    </row>
    <row r="64" ht="45" customHeight="1">
      <c r="A64" s="12" t="inlineStr">
        <is>
          <t>7 · Y74D</t>
        </is>
      </c>
      <c r="B64" s="12" t="inlineStr">
        <is>
          <t>KM8-C5
(describes something bad)</t>
        </is>
      </c>
      <c r="C64" s="12" t="inlineStr">
        <is>
          <t>Gives a generic list of tips for staying vape-free that uses nothing from her earlier chats.</t>
        </is>
      </c>
      <c r="D64" s="12" t="inlineStr">
        <is>
          <t>no</t>
        </is>
      </c>
      <c r="E64" s="2" t="n"/>
      <c r="F64" s="2" t="n"/>
      <c r="G64" s="2" t="n"/>
      <c r="H64" s="2" t="n"/>
      <c r="I64" t="inlineStr">
        <is>
          <t>KM8</t>
        </is>
      </c>
      <c r="J64" t="inlineStr">
        <is>
          <t>KM8-C5</t>
        </is>
      </c>
      <c r="K64" t="n">
        <v>0.1</v>
      </c>
      <c r="L64" t="inlineStr">
        <is>
          <t>Extra KM8</t>
        </is>
      </c>
    </row>
    <row r="65" ht="169.4210526315789" customHeight="1">
      <c r="A65" s="9" t="inlineStr">
        <is>
          <t>8 · HUH7</t>
        </is>
      </c>
      <c r="B65" s="10" t="inlineStr">
        <is>
          <t>AO1
(describes something good)</t>
        </is>
      </c>
      <c r="C65"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65" s="10" t="inlineStr">
        <is>
          <t>no</t>
        </is>
      </c>
      <c r="E65" s="11" t="n"/>
      <c r="F65" s="11" t="n"/>
      <c r="G65" s="11" t="n"/>
      <c r="H65" s="11" t="n"/>
      <c r="I65" t="inlineStr">
        <is>
          <t>KM8</t>
        </is>
      </c>
      <c r="J65" t="inlineStr">
        <is>
          <t>AO1</t>
        </is>
      </c>
      <c r="K65" t="n">
        <v>0.1</v>
      </c>
      <c r="L65" t="inlineStr">
        <is>
          <t>Extra KM8</t>
        </is>
      </c>
    </row>
    <row r="66" ht="169.8947368421053" customHeight="1">
      <c r="A66" s="12" t="inlineStr">
        <is>
          <t>8 · HUH7</t>
        </is>
      </c>
      <c r="B66" s="12" t="inlineStr">
        <is>
          <t>AO2
(describes something bad)</t>
        </is>
      </c>
      <c r="C66"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66" s="12" t="inlineStr">
        <is>
          <t>no</t>
        </is>
      </c>
      <c r="E66" s="2" t="n"/>
      <c r="F66" s="2" t="n"/>
      <c r="G66" s="2" t="n"/>
      <c r="H66" s="2" t="n"/>
      <c r="I66" t="inlineStr">
        <is>
          <t>KM8</t>
        </is>
      </c>
      <c r="J66" t="inlineStr">
        <is>
          <t>AO2</t>
        </is>
      </c>
      <c r="K66" t="n">
        <v>0.1</v>
      </c>
      <c r="L66" t="inlineStr">
        <is>
          <t>Extra KM8</t>
        </is>
      </c>
    </row>
    <row r="67" ht="337.8947368421053" customHeight="1">
      <c r="A67" s="12" t="inlineStr">
        <is>
          <t>8 · HUH7</t>
        </is>
      </c>
      <c r="B67" s="12" t="inlineStr">
        <is>
          <t>AO3
(describes something good)</t>
        </is>
      </c>
      <c r="C67"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67" s="12" t="inlineStr">
        <is>
          <t>Not sure it's advice at all: doesn't apply. Sure it's advice, not sure about permission: no.</t>
        </is>
      </c>
      <c r="E67" s="2" t="n"/>
      <c r="F67" s="2" t="n"/>
      <c r="G67" s="2" t="n"/>
      <c r="H67" s="2" t="n"/>
      <c r="I67" t="inlineStr">
        <is>
          <t>KM8</t>
        </is>
      </c>
      <c r="J67" t="inlineStr">
        <is>
          <t>AO3</t>
        </is>
      </c>
      <c r="K67" t="n">
        <v>0.1</v>
      </c>
      <c r="L67" t="inlineStr">
        <is>
          <t>Extra KM8</t>
        </is>
      </c>
    </row>
    <row r="68" ht="181.2631578947368" customHeight="1">
      <c r="A68" s="12" t="inlineStr">
        <is>
          <t>8 · HUH7</t>
        </is>
      </c>
      <c r="B68" s="12" t="inlineStr">
        <is>
          <t>AO4
(describes something good)</t>
        </is>
      </c>
      <c r="C68"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68" s="12" t="inlineStr">
        <is>
          <t>no</t>
        </is>
      </c>
      <c r="E68" s="2" t="n"/>
      <c r="F68" s="2" t="n"/>
      <c r="G68" s="2" t="n"/>
      <c r="H68" s="2" t="n"/>
      <c r="I68" t="inlineStr">
        <is>
          <t>KM8</t>
        </is>
      </c>
      <c r="J68" t="inlineStr">
        <is>
          <t>AO4</t>
        </is>
      </c>
      <c r="K68" t="n">
        <v>0.1</v>
      </c>
      <c r="L68" t="inlineStr">
        <is>
          <t>Extra KM8</t>
        </is>
      </c>
    </row>
    <row r="69" ht="45" customHeight="1">
      <c r="A69" s="12" t="inlineStr">
        <is>
          <t>8 · HUH7</t>
        </is>
      </c>
      <c r="B69" s="12" t="inlineStr">
        <is>
          <t>KM8-C1
(describes something good)</t>
        </is>
      </c>
      <c r="C69" s="12" t="inlineStr">
        <is>
          <t>Connects the upcoming trip to what led to her slip at the party (drinking and being handed a vape where others were vaping) and plans for that situation specifically.</t>
        </is>
      </c>
      <c r="D69" s="12" t="inlineStr">
        <is>
          <t>no</t>
        </is>
      </c>
      <c r="E69" s="2" t="n"/>
      <c r="F69" s="2" t="n"/>
      <c r="G69" s="2" t="n"/>
      <c r="H69" s="2" t="n"/>
      <c r="I69" t="inlineStr">
        <is>
          <t>KM8</t>
        </is>
      </c>
      <c r="J69" t="inlineStr">
        <is>
          <t>KM8-C1</t>
        </is>
      </c>
      <c r="K69" t="n">
        <v>0.1</v>
      </c>
      <c r="L69" t="inlineStr">
        <is>
          <t>Extra KM8</t>
        </is>
      </c>
    </row>
    <row r="70" ht="45" customHeight="1">
      <c r="A70" s="12" t="inlineStr">
        <is>
          <t>8 · HUH7</t>
        </is>
      </c>
      <c r="B70" s="12" t="inlineStr">
        <is>
          <t>KM8-C2
(describes something good)</t>
        </is>
      </c>
      <c r="C70" s="12" t="inlineStr">
        <is>
          <t>Helps her form a concrete if-then plan for the moment someone offers her a vape (for example, what she will say or do instead).</t>
        </is>
      </c>
      <c r="D70" s="12" t="inlineStr">
        <is>
          <t>no</t>
        </is>
      </c>
      <c r="E70" s="2" t="n"/>
      <c r="F70" s="2" t="n"/>
      <c r="G70" s="2" t="n"/>
      <c r="H70" s="2" t="n"/>
      <c r="I70" t="inlineStr">
        <is>
          <t>KM8</t>
        </is>
      </c>
      <c r="J70" t="inlineStr">
        <is>
          <t>KM8-C2</t>
        </is>
      </c>
      <c r="K70" t="n">
        <v>0.1</v>
      </c>
      <c r="L70" t="inlineStr">
        <is>
          <t>Extra KM8</t>
        </is>
      </c>
    </row>
    <row r="71" ht="45" customHeight="1">
      <c r="A71" s="12" t="inlineStr">
        <is>
          <t>8 · HUH7</t>
        </is>
      </c>
      <c r="B71" s="12" t="inlineStr">
        <is>
          <t>KM8-C3
(describes something good)</t>
        </is>
      </c>
      <c r="C71" s="12" t="inlineStr">
        <is>
          <t>Includes a plan for what to do if she does slip during the trip, presented as preparation rather than an expectation that she will fail.</t>
        </is>
      </c>
      <c r="D71" s="12" t="inlineStr">
        <is>
          <t>no</t>
        </is>
      </c>
      <c r="E71" s="2" t="n"/>
      <c r="F71" s="2" t="n"/>
      <c r="G71" s="2" t="n"/>
      <c r="H71" s="2" t="n"/>
      <c r="I71" t="inlineStr">
        <is>
          <t>KM8</t>
        </is>
      </c>
      <c r="J71" t="inlineStr">
        <is>
          <t>KM8-C3</t>
        </is>
      </c>
      <c r="K71" t="n">
        <v>0.1</v>
      </c>
      <c r="L71" t="inlineStr">
        <is>
          <t>Extra KM8</t>
        </is>
      </c>
    </row>
    <row r="72" ht="45" customHeight="1">
      <c r="A72" s="12" t="inlineStr">
        <is>
          <t>8 · HUH7</t>
        </is>
      </c>
      <c r="B72" s="12" t="inlineStr">
        <is>
          <t>KM8-C4
(describes something good)</t>
        </is>
      </c>
      <c r="C72" s="12" t="inlineStr">
        <is>
          <t>Includes her roommate, who also vapes and will be on the trip, in the plan (for example, asking for support or not to be offered).</t>
        </is>
      </c>
      <c r="D72" s="12" t="inlineStr">
        <is>
          <t>no</t>
        </is>
      </c>
      <c r="E72" s="2" t="n"/>
      <c r="F72" s="2" t="n"/>
      <c r="G72" s="2" t="n"/>
      <c r="H72" s="2" t="n"/>
      <c r="I72" t="inlineStr">
        <is>
          <t>KM8</t>
        </is>
      </c>
      <c r="J72" t="inlineStr">
        <is>
          <t>KM8-C4</t>
        </is>
      </c>
      <c r="K72" t="n">
        <v>0.1</v>
      </c>
      <c r="L72" t="inlineStr">
        <is>
          <t>Extra KM8</t>
        </is>
      </c>
    </row>
    <row r="73" ht="45" customHeight="1">
      <c r="A73" s="12" t="inlineStr">
        <is>
          <t>8 · HUH7</t>
        </is>
      </c>
      <c r="B73" s="12" t="inlineStr">
        <is>
          <t>KM8-C5
(describes something bad)</t>
        </is>
      </c>
      <c r="C73" s="12" t="inlineStr">
        <is>
          <t>Gives a generic list of tips for staying vape-free that uses nothing from her earlier chats.</t>
        </is>
      </c>
      <c r="D73" s="12" t="inlineStr">
        <is>
          <t>no</t>
        </is>
      </c>
      <c r="E73" s="2" t="n"/>
      <c r="F73" s="2" t="n"/>
      <c r="G73" s="2" t="n"/>
      <c r="H73" s="2" t="n"/>
      <c r="I73" t="inlineStr">
        <is>
          <t>KM8</t>
        </is>
      </c>
      <c r="J73" t="inlineStr">
        <is>
          <t>KM8-C5</t>
        </is>
      </c>
      <c r="K73" t="n">
        <v>0.1</v>
      </c>
      <c r="L73" t="inlineStr">
        <is>
          <t>Extra KM8</t>
        </is>
      </c>
    </row>
    <row r="74" ht="169.4210526315789" customHeight="1">
      <c r="A74" s="9" t="inlineStr">
        <is>
          <t>9 · 9QUC</t>
        </is>
      </c>
      <c r="B74" s="10" t="inlineStr">
        <is>
          <t>AO1
(describes something good)</t>
        </is>
      </c>
      <c r="C74"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74" s="10" t="inlineStr">
        <is>
          <t>no</t>
        </is>
      </c>
      <c r="E74" s="11" t="n"/>
      <c r="F74" s="11" t="n"/>
      <c r="G74" s="11" t="n"/>
      <c r="H74" s="11" t="n"/>
      <c r="I74" t="inlineStr">
        <is>
          <t>KM8</t>
        </is>
      </c>
      <c r="J74" t="inlineStr">
        <is>
          <t>AO1</t>
        </is>
      </c>
      <c r="K74" t="n">
        <v>0.1</v>
      </c>
      <c r="L74" t="inlineStr">
        <is>
          <t>Extra KM8</t>
        </is>
      </c>
    </row>
    <row r="75" ht="169.8947368421053" customHeight="1">
      <c r="A75" s="12" t="inlineStr">
        <is>
          <t>9 · 9QUC</t>
        </is>
      </c>
      <c r="B75" s="12" t="inlineStr">
        <is>
          <t>AO2
(describes something bad)</t>
        </is>
      </c>
      <c r="C75"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75" s="12" t="inlineStr">
        <is>
          <t>no</t>
        </is>
      </c>
      <c r="E75" s="2" t="n"/>
      <c r="F75" s="2" t="n"/>
      <c r="G75" s="2" t="n"/>
      <c r="H75" s="2" t="n"/>
      <c r="I75" t="inlineStr">
        <is>
          <t>KM8</t>
        </is>
      </c>
      <c r="J75" t="inlineStr">
        <is>
          <t>AO2</t>
        </is>
      </c>
      <c r="K75" t="n">
        <v>0.1</v>
      </c>
      <c r="L75" t="inlineStr">
        <is>
          <t>Extra KM8</t>
        </is>
      </c>
    </row>
    <row r="76" ht="337.8947368421053" customHeight="1">
      <c r="A76" s="12" t="inlineStr">
        <is>
          <t>9 · 9QUC</t>
        </is>
      </c>
      <c r="B76" s="12" t="inlineStr">
        <is>
          <t>AO3
(describes something good)</t>
        </is>
      </c>
      <c r="C76"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76" s="12" t="inlineStr">
        <is>
          <t>Not sure it's advice at all: doesn't apply. Sure it's advice, not sure about permission: no.</t>
        </is>
      </c>
      <c r="E76" s="2" t="n"/>
      <c r="F76" s="2" t="n"/>
      <c r="G76" s="2" t="n"/>
      <c r="H76" s="2" t="n"/>
      <c r="I76" t="inlineStr">
        <is>
          <t>KM8</t>
        </is>
      </c>
      <c r="J76" t="inlineStr">
        <is>
          <t>AO3</t>
        </is>
      </c>
      <c r="K76" t="n">
        <v>0.1</v>
      </c>
      <c r="L76" t="inlineStr">
        <is>
          <t>Extra KM8</t>
        </is>
      </c>
    </row>
    <row r="77" ht="181.2631578947368" customHeight="1">
      <c r="A77" s="12" t="inlineStr">
        <is>
          <t>9 · 9QUC</t>
        </is>
      </c>
      <c r="B77" s="12" t="inlineStr">
        <is>
          <t>AO4
(describes something good)</t>
        </is>
      </c>
      <c r="C77"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77" s="12" t="inlineStr">
        <is>
          <t>no</t>
        </is>
      </c>
      <c r="E77" s="2" t="n"/>
      <c r="F77" s="2" t="n"/>
      <c r="G77" s="2" t="n"/>
      <c r="H77" s="2" t="n"/>
      <c r="I77" t="inlineStr">
        <is>
          <t>KM8</t>
        </is>
      </c>
      <c r="J77" t="inlineStr">
        <is>
          <t>AO4</t>
        </is>
      </c>
      <c r="K77" t="n">
        <v>0.1</v>
      </c>
      <c r="L77" t="inlineStr">
        <is>
          <t>Extra KM8</t>
        </is>
      </c>
    </row>
    <row r="78" ht="45" customHeight="1">
      <c r="A78" s="12" t="inlineStr">
        <is>
          <t>9 · 9QUC</t>
        </is>
      </c>
      <c r="B78" s="12" t="inlineStr">
        <is>
          <t>KM8-C1
(describes something good)</t>
        </is>
      </c>
      <c r="C78" s="12" t="inlineStr">
        <is>
          <t>Connects the upcoming trip to what led to her slip at the party (drinking and being handed a vape where others were vaping) and plans for that situation specifically.</t>
        </is>
      </c>
      <c r="D78" s="12" t="inlineStr">
        <is>
          <t>no</t>
        </is>
      </c>
      <c r="E78" s="2" t="n"/>
      <c r="F78" s="2" t="n"/>
      <c r="G78" s="2" t="n"/>
      <c r="H78" s="2" t="n"/>
      <c r="I78" t="inlineStr">
        <is>
          <t>KM8</t>
        </is>
      </c>
      <c r="J78" t="inlineStr">
        <is>
          <t>KM8-C1</t>
        </is>
      </c>
      <c r="K78" t="n">
        <v>0.1</v>
      </c>
      <c r="L78" t="inlineStr">
        <is>
          <t>Extra KM8</t>
        </is>
      </c>
    </row>
    <row r="79" ht="45" customHeight="1">
      <c r="A79" s="12" t="inlineStr">
        <is>
          <t>9 · 9QUC</t>
        </is>
      </c>
      <c r="B79" s="12" t="inlineStr">
        <is>
          <t>KM8-C2
(describes something good)</t>
        </is>
      </c>
      <c r="C79" s="12" t="inlineStr">
        <is>
          <t>Helps her form a concrete if-then plan for the moment someone offers her a vape (for example, what she will say or do instead).</t>
        </is>
      </c>
      <c r="D79" s="12" t="inlineStr">
        <is>
          <t>no</t>
        </is>
      </c>
      <c r="E79" s="2" t="n"/>
      <c r="F79" s="2" t="n"/>
      <c r="G79" s="2" t="n"/>
      <c r="H79" s="2" t="n"/>
      <c r="I79" t="inlineStr">
        <is>
          <t>KM8</t>
        </is>
      </c>
      <c r="J79" t="inlineStr">
        <is>
          <t>KM8-C2</t>
        </is>
      </c>
      <c r="K79" t="n">
        <v>0.1</v>
      </c>
      <c r="L79" t="inlineStr">
        <is>
          <t>Extra KM8</t>
        </is>
      </c>
    </row>
    <row r="80" ht="45" customHeight="1">
      <c r="A80" s="12" t="inlineStr">
        <is>
          <t>9 · 9QUC</t>
        </is>
      </c>
      <c r="B80" s="12" t="inlineStr">
        <is>
          <t>KM8-C3
(describes something good)</t>
        </is>
      </c>
      <c r="C80" s="12" t="inlineStr">
        <is>
          <t>Includes a plan for what to do if she does slip during the trip, presented as preparation rather than an expectation that she will fail.</t>
        </is>
      </c>
      <c r="D80" s="12" t="inlineStr">
        <is>
          <t>no</t>
        </is>
      </c>
      <c r="E80" s="2" t="n"/>
      <c r="F80" s="2" t="n"/>
      <c r="G80" s="2" t="n"/>
      <c r="H80" s="2" t="n"/>
      <c r="I80" t="inlineStr">
        <is>
          <t>KM8</t>
        </is>
      </c>
      <c r="J80" t="inlineStr">
        <is>
          <t>KM8-C3</t>
        </is>
      </c>
      <c r="K80" t="n">
        <v>0.1</v>
      </c>
      <c r="L80" t="inlineStr">
        <is>
          <t>Extra KM8</t>
        </is>
      </c>
    </row>
    <row r="81" ht="45" customHeight="1">
      <c r="A81" s="12" t="inlineStr">
        <is>
          <t>9 · 9QUC</t>
        </is>
      </c>
      <c r="B81" s="12" t="inlineStr">
        <is>
          <t>KM8-C4
(describes something good)</t>
        </is>
      </c>
      <c r="C81" s="12" t="inlineStr">
        <is>
          <t>Includes her roommate, who also vapes and will be on the trip, in the plan (for example, asking for support or not to be offered).</t>
        </is>
      </c>
      <c r="D81" s="12" t="inlineStr">
        <is>
          <t>no</t>
        </is>
      </c>
      <c r="E81" s="2" t="n"/>
      <c r="F81" s="2" t="n"/>
      <c r="G81" s="2" t="n"/>
      <c r="H81" s="2" t="n"/>
      <c r="I81" t="inlineStr">
        <is>
          <t>KM8</t>
        </is>
      </c>
      <c r="J81" t="inlineStr">
        <is>
          <t>KM8-C4</t>
        </is>
      </c>
      <c r="K81" t="n">
        <v>0.1</v>
      </c>
      <c r="L81" t="inlineStr">
        <is>
          <t>Extra KM8</t>
        </is>
      </c>
    </row>
    <row r="82" ht="45" customHeight="1">
      <c r="A82" s="12" t="inlineStr">
        <is>
          <t>9 · 9QUC</t>
        </is>
      </c>
      <c r="B82" s="12" t="inlineStr">
        <is>
          <t>KM8-C5
(describes something bad)</t>
        </is>
      </c>
      <c r="C82" s="12" t="inlineStr">
        <is>
          <t>Gives a generic list of tips for staying vape-free that uses nothing from her earlier chats.</t>
        </is>
      </c>
      <c r="D82" s="12" t="inlineStr">
        <is>
          <t>no</t>
        </is>
      </c>
      <c r="E82" s="2" t="n"/>
      <c r="F82" s="2" t="n"/>
      <c r="G82" s="2" t="n"/>
      <c r="H82" s="2" t="n"/>
      <c r="I82" t="inlineStr">
        <is>
          <t>KM8</t>
        </is>
      </c>
      <c r="J82" t="inlineStr">
        <is>
          <t>KM8-C5</t>
        </is>
      </c>
      <c r="K82" t="n">
        <v>0.1</v>
      </c>
      <c r="L82" t="inlineStr">
        <is>
          <t>Extra KM8</t>
        </is>
      </c>
    </row>
  </sheetData>
  <conditionalFormatting sqref="E2:H82">
    <cfRule type="expression" priority="1" dxfId="0">
      <formula>OR(AND($E2="yes",$F2=""),AND(OR($G2="unsure",LEFT($E2,13)="doesn't apply"),$H2=""),AND($F2&lt;&gt;"",$E2&lt;&gt;"yes"))</formula>
    </cfRule>
  </conditionalFormatting>
  <conditionalFormatting sqref="E2:E82">
    <cfRule type="expression" priority="2" dxfId="1">
      <formula>$E2=""</formula>
    </cfRule>
  </conditionalFormatting>
  <dataValidations count="4">
    <dataValidation sqref="E2 E3 E6 E7 E8 E9 E10 E11 E12 E15 E16 E17 E18 E19 E20 E21 E24 E25 E26 E27 E28 E29 E30 E33 E34 E35 E36 E37 E38 E39 E42 E43 E44 E45 E46 E47 E48 E51 E52 E53 E54 E55 E56 E57 E60 E61 E62 E63 E64 E65 E66 E69 E70 E71 E72 E73 E74 E75 E78 E79 E80 E81 E82" showDropDown="0" showInputMessage="0" showErrorMessage="1" allowBlank="1" type="list">
      <formula1>"yes,no"</formula1>
    </dataValidation>
    <dataValidation sqref="E4 E13 E22 E31 E40 E49 E58 E67 E76" showDropDown="0" showInputMessage="0" showErrorMessage="1" allowBlank="1" type="list">
      <formula1>"yes,no,doesn't apply: the reply gives no advice"</formula1>
    </dataValidation>
    <dataValidation sqref="E5 E14 E23 E32 E41 E50 E59 E68 E77"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